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"/>
    </mc:Choice>
  </mc:AlternateContent>
  <xr:revisionPtr revIDLastSave="0" documentId="13_ncr:1_{9DA4021B-B746-4514-9F21-B223E2FA9C67}" xr6:coauthVersionLast="47" xr6:coauthVersionMax="47" xr10:uidLastSave="{00000000-0000-0000-0000-000000000000}"/>
  <bookViews>
    <workbookView xWindow="6825" yWindow="4440" windowWidth="43290" windowHeight="13950" xr2:uid="{00000000-000D-0000-FFFF-FFFF00000000}"/>
  </bookViews>
  <sheets>
    <sheet name="Summary" sheetId="1" r:id="rId1"/>
    <sheet name="By Product Type" sheetId="2" r:id="rId2"/>
    <sheet name="Color Values" sheetId="3" r:id="rId3"/>
    <sheet name="Metafield Status" sheetId="4" r:id="rId4"/>
    <sheet name="Fix Roadmap" sheetId="5" r:id="rId5"/>
    <sheet name="Size Analysis" sheetId="6" r:id="rId6"/>
    <sheet name="Data Quality" sheetId="7" r:id="rId7"/>
    <sheet name="All Option Types" sheetId="8" r:id="rId8"/>
  </sheets>
  <definedNames>
    <definedName name="_xlnm._FilterDatabase" localSheetId="1" hidden="1">'By Product Type'!$A$1:$G$86</definedName>
    <definedName name="_xlnm._FilterDatabase" localSheetId="2" hidden="1">'Color Values'!$A$1:$D$51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3" l="1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C20" i="1"/>
  <c r="C19" i="1"/>
  <c r="C18" i="1"/>
  <c r="C15" i="1"/>
  <c r="C14" i="1"/>
  <c r="C13" i="1"/>
  <c r="C12" i="1"/>
  <c r="C9" i="1"/>
  <c r="C8" i="1"/>
  <c r="C7" i="1"/>
</calcChain>
</file>

<file path=xl/sharedStrings.xml><?xml version="1.0" encoding="utf-8"?>
<sst xmlns="http://schemas.openxmlformats.org/spreadsheetml/2006/main" count="582" uniqueCount="464">
  <si>
    <t>The Clothing Cove — Inventory Recovery Plan</t>
  </si>
  <si>
    <t>Store: the-clothing-cove-store.myshopify.com</t>
  </si>
  <si>
    <t>Audit Date: May 2026 | Work scope: In-stock products only (11,818)</t>
  </si>
  <si>
    <t>CATALOG OVERVIEW</t>
  </si>
  <si>
    <t>Total active products</t>
  </si>
  <si>
    <t>In stock</t>
  </si>
  <si>
    <t>Out of stock</t>
  </si>
  <si>
    <t>Default Title (no options)</t>
  </si>
  <si>
    <t>COLOR OPTION STATUS</t>
  </si>
  <si>
    <t>Products WITH Color option</t>
  </si>
  <si>
    <t>Products WITHOUT Color option</t>
  </si>
  <si>
    <t>In-stock WITH color</t>
  </si>
  <si>
    <t>In-stock WITHOUT color</t>
  </si>
  <si>
    <t>COLOR OPTION NAMING</t>
  </si>
  <si>
    <t>Option name "Color"</t>
  </si>
  <si>
    <t>Option name "COLOR"</t>
  </si>
  <si>
    <t>Option name "color"</t>
  </si>
  <si>
    <t>METADATA STATUS</t>
  </si>
  <si>
    <t>Products with shopify.color-pattern metafield</t>
  </si>
  <si>
    <t>3.8%</t>
  </si>
  <si>
    <t>Unique color metaobject references</t>
  </si>
  <si>
    <t>Unique color option values</t>
  </si>
  <si>
    <t>Products with ANY shopify.* metafield</t>
  </si>
  <si>
    <t>4.2%</t>
  </si>
  <si>
    <t>SIZE OPTION STATUS</t>
  </si>
  <si>
    <t>Products WITH Size option</t>
  </si>
  <si>
    <t>In-stock WITH size</t>
  </si>
  <si>
    <t>53.8%</t>
  </si>
  <si>
    <t>Option name "Size"</t>
  </si>
  <si>
    <t>71.7%</t>
  </si>
  <si>
    <t>Option name "SIZE"</t>
  </si>
  <si>
    <t>28.3%</t>
  </si>
  <si>
    <t>Unique size values</t>
  </si>
  <si>
    <t>30.9%</t>
  </si>
  <si>
    <t>In-stock missing ALL images</t>
  </si>
  <si>
    <t>33.6%</t>
  </si>
  <si>
    <t>DATA QUALITY</t>
  </si>
  <si>
    <t>93.6%</t>
  </si>
  <si>
    <t>Products with naming inconsistencies</t>
  </si>
  <si>
    <t>~6,841</t>
  </si>
  <si>
    <t>Products with trailing spaces in option name</t>
  </si>
  <si>
    <t>~22</t>
  </si>
  <si>
    <t>Products with typos in option name</t>
  </si>
  <si>
    <t>~5</t>
  </si>
  <si>
    <t>Products with junk/invalid options</t>
  </si>
  <si>
    <t>~8</t>
  </si>
  <si>
    <t>Default Title products (no options)</t>
  </si>
  <si>
    <t>Product Type</t>
  </si>
  <si>
    <t>Total Products</t>
  </si>
  <si>
    <t>In Stock</t>
  </si>
  <si>
    <t>Has Color Option</t>
  </si>
  <si>
    <t>In Stock + Color</t>
  </si>
  <si>
    <t>Color Coverage %</t>
  </si>
  <si>
    <t>In-Stock Color Coverage %</t>
  </si>
  <si>
    <t>J E W</t>
  </si>
  <si>
    <t>H O A</t>
  </si>
  <si>
    <t>B A G</t>
  </si>
  <si>
    <t>T O C</t>
  </si>
  <si>
    <t>A C C</t>
  </si>
  <si>
    <t>J A K</t>
  </si>
  <si>
    <t>S O M</t>
  </si>
  <si>
    <t>C H A</t>
  </si>
  <si>
    <t>B A B</t>
  </si>
  <si>
    <t>C H H</t>
  </si>
  <si>
    <t>D R C</t>
  </si>
  <si>
    <t>S O X</t>
  </si>
  <si>
    <t>P A M</t>
  </si>
  <si>
    <t>K N W</t>
  </si>
  <si>
    <t>S H O</t>
  </si>
  <si>
    <t>S O C</t>
  </si>
  <si>
    <t>A C S</t>
  </si>
  <si>
    <t>H A T</t>
  </si>
  <si>
    <t>W A L</t>
  </si>
  <si>
    <t>T O B</t>
  </si>
  <si>
    <t>D R E</t>
  </si>
  <si>
    <t>T O P</t>
  </si>
  <si>
    <t>P A J</t>
  </si>
  <si>
    <t>R D R</t>
  </si>
  <si>
    <t>A C H</t>
  </si>
  <si>
    <t>S L P</t>
  </si>
  <si>
    <t>S U N</t>
  </si>
  <si>
    <t>(empty)</t>
  </si>
  <si>
    <t>T A N</t>
  </si>
  <si>
    <t>T O L</t>
  </si>
  <si>
    <t>K N C</t>
  </si>
  <si>
    <t>W A T</t>
  </si>
  <si>
    <t>M E N</t>
  </si>
  <si>
    <t>JEW</t>
  </si>
  <si>
    <t>S K S</t>
  </si>
  <si>
    <t>P A C</t>
  </si>
  <si>
    <t>T O V</t>
  </si>
  <si>
    <t>V E S</t>
  </si>
  <si>
    <t>P A P</t>
  </si>
  <si>
    <t>L E G</t>
  </si>
  <si>
    <t>P R M</t>
  </si>
  <si>
    <t>J E A</t>
  </si>
  <si>
    <t>F O D</t>
  </si>
  <si>
    <t>P E T</t>
  </si>
  <si>
    <t>S O S</t>
  </si>
  <si>
    <t>S H M</t>
  </si>
  <si>
    <t>A C B</t>
  </si>
  <si>
    <t>J U M</t>
  </si>
  <si>
    <t>A C P</t>
  </si>
  <si>
    <t>S O W</t>
  </si>
  <si>
    <t>K N T</t>
  </si>
  <si>
    <t>P O N</t>
  </si>
  <si>
    <t>T H T</t>
  </si>
  <si>
    <t>S O P</t>
  </si>
  <si>
    <t>B R A</t>
  </si>
  <si>
    <t>C H C</t>
  </si>
  <si>
    <t>T H K</t>
  </si>
  <si>
    <t>L U G</t>
  </si>
  <si>
    <t>T H J</t>
  </si>
  <si>
    <t>H O S</t>
  </si>
  <si>
    <t>T H A</t>
  </si>
  <si>
    <t>O U J</t>
  </si>
  <si>
    <t>S O J</t>
  </si>
  <si>
    <t>L I P</t>
  </si>
  <si>
    <t>S O B</t>
  </si>
  <si>
    <t>S P C</t>
  </si>
  <si>
    <t>F R G</t>
  </si>
  <si>
    <t>Y O S</t>
  </si>
  <si>
    <t>P A W</t>
  </si>
  <si>
    <t>T H D</t>
  </si>
  <si>
    <t>O U C</t>
  </si>
  <si>
    <t>T H B</t>
  </si>
  <si>
    <t>L I S</t>
  </si>
  <si>
    <t>P A S</t>
  </si>
  <si>
    <t>T H V</t>
  </si>
  <si>
    <t>T H C</t>
  </si>
  <si>
    <t>P S T</t>
  </si>
  <si>
    <t>J EW</t>
  </si>
  <si>
    <t>A T V</t>
  </si>
  <si>
    <t>K N V</t>
  </si>
  <si>
    <t>Gift Card</t>
  </si>
  <si>
    <t>S H W</t>
  </si>
  <si>
    <t>WAT</t>
  </si>
  <si>
    <t>THK</t>
  </si>
  <si>
    <t>J E W\</t>
  </si>
  <si>
    <t>Rank</t>
  </si>
  <si>
    <t>Color Value</t>
  </si>
  <si>
    <t>Product Count</t>
  </si>
  <si>
    <t>% of Color Products</t>
  </si>
  <si>
    <t>BLACK</t>
  </si>
  <si>
    <t>SILVER</t>
  </si>
  <si>
    <t>WHITE</t>
  </si>
  <si>
    <t>NAVY</t>
  </si>
  <si>
    <t>BLUE</t>
  </si>
  <si>
    <t>PINK</t>
  </si>
  <si>
    <t>GREY</t>
  </si>
  <si>
    <t>GOLD</t>
  </si>
  <si>
    <t>RED</t>
  </si>
  <si>
    <t>CLEAR</t>
  </si>
  <si>
    <t>BEIGE</t>
  </si>
  <si>
    <t>GREEN</t>
  </si>
  <si>
    <t>BROWN</t>
  </si>
  <si>
    <t>IVORY</t>
  </si>
  <si>
    <t>PURPLE</t>
  </si>
  <si>
    <t>MULTI</t>
  </si>
  <si>
    <t>DENIM</t>
  </si>
  <si>
    <t>TEAL</t>
  </si>
  <si>
    <t>OLIVE</t>
  </si>
  <si>
    <t>TAUPE</t>
  </si>
  <si>
    <t>TURQUOISE</t>
  </si>
  <si>
    <t>YELLOW</t>
  </si>
  <si>
    <t>TAN</t>
  </si>
  <si>
    <t>AQUA</t>
  </si>
  <si>
    <t>CHARCOAL</t>
  </si>
  <si>
    <t>ORANGE</t>
  </si>
  <si>
    <t>MINT</t>
  </si>
  <si>
    <t>CHAMPAGNE</t>
  </si>
  <si>
    <t>BURGUNDY</t>
  </si>
  <si>
    <t>CREAM</t>
  </si>
  <si>
    <t>CORAL</t>
  </si>
  <si>
    <t>PEWTER</t>
  </si>
  <si>
    <t>AURORA BOREALIS</t>
  </si>
  <si>
    <t>SILVER NIGHT</t>
  </si>
  <si>
    <t>FUCHSIA</t>
  </si>
  <si>
    <t>LAVENDER</t>
  </si>
  <si>
    <t>WINE</t>
  </si>
  <si>
    <t>BLUSH</t>
  </si>
  <si>
    <t>KHAKI</t>
  </si>
  <si>
    <t>CAMEL</t>
  </si>
  <si>
    <t>ROYAL</t>
  </si>
  <si>
    <t>BLACK &amp; WHITE</t>
  </si>
  <si>
    <t>BLACK/WHITE</t>
  </si>
  <si>
    <t>LIGHT BLUE</t>
  </si>
  <si>
    <t>ROSE</t>
  </si>
  <si>
    <t>ROYAL BLUE</t>
  </si>
  <si>
    <t>OFF WHITE</t>
  </si>
  <si>
    <t>MIDNIGHT</t>
  </si>
  <si>
    <t>ROSE GOLD</t>
  </si>
  <si>
    <t>INDIGO</t>
  </si>
  <si>
    <t>Note:</t>
  </si>
  <si>
    <t>6,052 total unique color values. Top 50 shown above. Full list in color-audit-results.json</t>
  </si>
  <si>
    <t>Metafield Key</t>
  </si>
  <si>
    <t>Products (Full Catalog)</t>
  </si>
  <si>
    <t>Confirmed Count</t>
  </si>
  <si>
    <t>Coverage %</t>
  </si>
  <si>
    <t>shopify.color-pattern</t>
  </si>
  <si>
    <t>shopify.size</t>
  </si>
  <si>
    <t>2.6%</t>
  </si>
  <si>
    <t>shopify.age-group</t>
  </si>
  <si>
    <t>1.1%</t>
  </si>
  <si>
    <t>shopify.fabric</t>
  </si>
  <si>
    <t>shopify.target-gender</t>
  </si>
  <si>
    <t>shopify.neckline</t>
  </si>
  <si>
    <t>0.6%</t>
  </si>
  <si>
    <t>shopify.sleeve-length-type</t>
  </si>
  <si>
    <t>shopify.top-length-type</t>
  </si>
  <si>
    <t>0.4%</t>
  </si>
  <si>
    <t>KEY FINDINGS:</t>
  </si>
  <si>
    <t>- 1,374 products have shopify.color-pattern — referencing 405 unique color metaobjects</t>
  </si>
  <si>
    <t>- Heavily concentrated in newest products (recent tagging initiative)</t>
  </si>
  <si>
    <t>- API token lacks read_metaobjects scope — cannot read metaobject contents</t>
  </si>
  <si>
    <t>- 1,514 total products (4.2%) have ANY Shopify standard metafield</t>
  </si>
  <si>
    <t>- The other 15,409 products with color use variant OPTIONS only (not metafields)</t>
  </si>
  <si>
    <t>OTHER METAFIELDS (present on most products but NOT color-related):</t>
  </si>
  <si>
    <t>- global.description_tag: ~98% of products (SEO meta descriptions)</t>
  </si>
  <si>
    <t>- mc-facebook.google_product_category: ~76% (Google Shopping categories)</t>
  </si>
  <si>
    <t>- global.title_tag: ~74% (SEO title overrides)</t>
  </si>
  <si>
    <t>- SEOMetaManager.config: ~69% (SEO app configuration)</t>
  </si>
  <si>
    <t>- seo.hidden: ~46% (SEO visibility flags)</t>
  </si>
  <si>
    <t>Phase</t>
  </si>
  <si>
    <t>Description</t>
  </si>
  <si>
    <t>Effort</t>
  </si>
  <si>
    <t>Risk</t>
  </si>
  <si>
    <t>Products Modified</t>
  </si>
  <si>
    <t>Phase 1</t>
  </si>
  <si>
    <t>Activate Color Swatches — populate theme color_swatch_config with hex codes for all existing color values. Makes filters show colored squares instead of text.</t>
  </si>
  <si>
    <t>2-3 hours</t>
  </si>
  <si>
    <t>None — theme display setting only, easily reversible</t>
  </si>
  <si>
    <t>0</t>
  </si>
  <si>
    <t>Phase 2</t>
  </si>
  <si>
    <t>Data Quality Cleanup — fix all option naming issues: rename COLOR→Color (4,019), SIZE→Size (2,805), fix trailing spaces (22), typos (5), merge COLORS→Color (7). One batch.</t>
  </si>
  <si>
    <t>Low — only changes option labels. Does not affect inventory, variants, or pricing.</t>
  </si>
  <si>
    <t>~6,876</t>
  </si>
  <si>
    <t>Phase 3</t>
  </si>
  <si>
    <t>Search &amp; Discovery Configuration — configure Color and Size filters in S&amp;D app. Verify unified filter groups after naming cleanup.</t>
  </si>
  <si>
    <t>30 min</t>
  </si>
  <si>
    <t>None</t>
  </si>
  <si>
    <t>Phase 4</t>
  </si>
  <si>
    <t>Improve Swatch Appearance — evaluate default Prestige theme swatch CSS. Adjust shape, size, spacing if needed.</t>
  </si>
  <si>
    <t>1-2 hours</t>
  </si>
  <si>
    <t>None — cosmetic CSS changes tested on dev theme first</t>
  </si>
  <si>
    <t>Phase 5</t>
  </si>
  <si>
    <t>Add Missing Product Data — add Color/Size options to in-stock products that currently lack them. Priority by product type.</t>
  </si>
  <si>
    <t>2-6 weeks</t>
  </si>
  <si>
    <t>Medium — modifies product data. Incremental by product type, dry-run first.</t>
  </si>
  <si>
    <t>TBD</t>
  </si>
  <si>
    <t>Phase 6</t>
  </si>
  <si>
    <t>Metafield Expansion — continue the shopify.color-pattern tagging initiative (1,374 started). Extend to size, fabric, gender.</t>
  </si>
  <si>
    <t>Ongoing</t>
  </si>
  <si>
    <t>Low — additive metadata, doesn't change existing data.</t>
  </si>
  <si>
    <t>Phase 7</t>
  </si>
  <si>
    <t>Publish to Live — apply all theme changes from dev (145504469107) to live (138024386675).</t>
  </si>
  <si>
    <t>Low — all changes tested on dev theme first</t>
  </si>
  <si>
    <t>Size Option Analysis</t>
  </si>
  <si>
    <t>Size Option Overview</t>
  </si>
  <si>
    <t>Products with Size option</t>
  </si>
  <si>
    <t>In-stock with Size</t>
  </si>
  <si>
    <t>Size Value</t>
  </si>
  <si>
    <t>Products</t>
  </si>
  <si>
    <t>Category</t>
  </si>
  <si>
    <t>L</t>
  </si>
  <si>
    <t>Letter</t>
  </si>
  <si>
    <t>M</t>
  </si>
  <si>
    <t>S</t>
  </si>
  <si>
    <t>XL</t>
  </si>
  <si>
    <t>10</t>
  </si>
  <si>
    <t>Numeric</t>
  </si>
  <si>
    <t>8</t>
  </si>
  <si>
    <t>12</t>
  </si>
  <si>
    <t>14</t>
  </si>
  <si>
    <t>6</t>
  </si>
  <si>
    <t>16</t>
  </si>
  <si>
    <t>XS</t>
  </si>
  <si>
    <t>XXL</t>
  </si>
  <si>
    <t>4</t>
  </si>
  <si>
    <t>S/M</t>
  </si>
  <si>
    <t>Combo</t>
  </si>
  <si>
    <t>L/XL</t>
  </si>
  <si>
    <t>7</t>
  </si>
  <si>
    <t>9</t>
  </si>
  <si>
    <t>2</t>
  </si>
  <si>
    <t>18</t>
  </si>
  <si>
    <t>ONE SIZE</t>
  </si>
  <si>
    <t>Universal</t>
  </si>
  <si>
    <t>38</t>
  </si>
  <si>
    <t>European</t>
  </si>
  <si>
    <t>PL</t>
  </si>
  <si>
    <t>Petite</t>
  </si>
  <si>
    <t>1X</t>
  </si>
  <si>
    <t>Plus</t>
  </si>
  <si>
    <t>PS</t>
  </si>
  <si>
    <t>PM</t>
  </si>
  <si>
    <t>SIZE VALUE CATEGORIES (479 unique values)</t>
  </si>
  <si>
    <t>Letter sizes (S, M, L, XL, XXL, XS)</t>
  </si>
  <si>
    <t>Most common — standard clothing</t>
  </si>
  <si>
    <t>Numeric sizes (2, 4, 6, 8, 10, 12, 14, 16, 18)</t>
  </si>
  <si>
    <t>Dresses, pants, formal wear</t>
  </si>
  <si>
    <t>European sizes (36, 37, 38, 39, 40, 41, 42)</t>
  </si>
  <si>
    <t>Shoes and some imported clothing</t>
  </si>
  <si>
    <t>Petite (PS, PM, PL)</t>
  </si>
  <si>
    <t>Petite line sizing</t>
  </si>
  <si>
    <t>Plus (1X, 2X, 3X)</t>
  </si>
  <si>
    <t>Extended sizes</t>
  </si>
  <si>
    <t>Combo (S/M, L/XL)</t>
  </si>
  <si>
    <t>Two-size ranges</t>
  </si>
  <si>
    <t>Universal (ONE SIZE, O/S, OSFM)</t>
  </si>
  <si>
    <t>One-size-fits-most items</t>
  </si>
  <si>
    <t>Shoe sizes (6, 6.5, 7, 7.5, 8, ...)</t>
  </si>
  <si>
    <t>Overlaps with numeric — context-dependent</t>
  </si>
  <si>
    <t>Size by Product Type</t>
  </si>
  <si>
    <t>T O C (Tops/Clothing)</t>
  </si>
  <si>
    <t>J A K (Jackets)</t>
  </si>
  <si>
    <t>D R C (Dresses)</t>
  </si>
  <si>
    <t>S H O (Shoes)</t>
  </si>
  <si>
    <t>Data Quality Issues &amp; Cleanup Tasks</t>
  </si>
  <si>
    <t>Issue</t>
  </si>
  <si>
    <t>Option</t>
  </si>
  <si>
    <t>Current Value</t>
  </si>
  <si>
    <t>Should Be</t>
  </si>
  <si>
    <t>Products Affected</t>
  </si>
  <si>
    <t>Inconsistent casing</t>
  </si>
  <si>
    <t>Color</t>
  </si>
  <si>
    <t>"COLOR"</t>
  </si>
  <si>
    <t>"Color"</t>
  </si>
  <si>
    <t>4,019</t>
  </si>
  <si>
    <t>"color"</t>
  </si>
  <si>
    <t>17</t>
  </si>
  <si>
    <t>Size</t>
  </si>
  <si>
    <t>"SIZE"</t>
  </si>
  <si>
    <t>"Size"</t>
  </si>
  <si>
    <t>2,805</t>
  </si>
  <si>
    <t>Trailing space in name</t>
  </si>
  <si>
    <t>"COLOR " (trailing space)</t>
  </si>
  <si>
    <t>11</t>
  </si>
  <si>
    <t>"Color " (trailing space)</t>
  </si>
  <si>
    <t>"color " (trailing space)</t>
  </si>
  <si>
    <t>1</t>
  </si>
  <si>
    <t>"SIZE " (trailing space)</t>
  </si>
  <si>
    <t>3</t>
  </si>
  <si>
    <t>Style</t>
  </si>
  <si>
    <t>"STYLE " (trailing space)</t>
  </si>
  <si>
    <t>"Style"</t>
  </si>
  <si>
    <t>5</t>
  </si>
  <si>
    <t>"style " (trailing space)</t>
  </si>
  <si>
    <t>Typo / misspelling</t>
  </si>
  <si>
    <t>"OCLOR"</t>
  </si>
  <si>
    <t>"Coilor"</t>
  </si>
  <si>
    <t>"COOR"</t>
  </si>
  <si>
    <t>"S1ze" (one instead of i)</t>
  </si>
  <si>
    <t>"Siz"</t>
  </si>
  <si>
    <t>Should merge into Color</t>
  </si>
  <si>
    <t>Colors</t>
  </si>
  <si>
    <t>"COLORS"</t>
  </si>
  <si>
    <t>Color &amp; Size</t>
  </si>
  <si>
    <t>"COLOR &amp; SIZE"</t>
  </si>
  <si>
    <t>Split to Color + Size</t>
  </si>
  <si>
    <t>Style/Color</t>
  </si>
  <si>
    <t>"Style/Color"</t>
  </si>
  <si>
    <t>Split to Style + Color</t>
  </si>
  <si>
    <t>Not a real option</t>
  </si>
  <si>
    <t>N/A</t>
  </si>
  <si>
    <t>"Download Our App Now!"</t>
  </si>
  <si>
    <t>Remove</t>
  </si>
  <si>
    <t>"polyester &amp; spandex"</t>
  </si>
  <si>
    <t>Remove or move to metafield</t>
  </si>
  <si>
    <t>"poly spandex"</t>
  </si>
  <si>
    <t>"Multi"</t>
  </si>
  <si>
    <t>Review — may be Color value</t>
  </si>
  <si>
    <t>"BLACK" (as option name)</t>
  </si>
  <si>
    <t>Should be Color</t>
  </si>
  <si>
    <t>"MATERIAL"</t>
  </si>
  <si>
    <t>Move to metafield</t>
  </si>
  <si>
    <t>Ambiguous option</t>
  </si>
  <si>
    <t>"MEN'S ACCESSORY"</t>
  </si>
  <si>
    <t>Review</t>
  </si>
  <si>
    <t>"Bracelet design"</t>
  </si>
  <si>
    <t>"LENGTH"</t>
  </si>
  <si>
    <t>SUMMARY</t>
  </si>
  <si>
    <t xml:space="preserve">  Total products with naming inconsistencies (casing): ~6,841 (COLOR: 4,019 + SIZE: 2,805 + color: 17)</t>
  </si>
  <si>
    <t xml:space="preserve">  Total products with trailing spaces: ~22</t>
  </si>
  <si>
    <t xml:space="preserve">  Total products with typos/misspellings: ~5</t>
  </si>
  <si>
    <t xml:space="preserve">  Total products with invalid/junk options: ~8</t>
  </si>
  <si>
    <t xml:space="preserve">  All naming fixes are low-risk — they only change the option LABEL, not values, inventory, or variants.</t>
  </si>
  <si>
    <t xml:space="preserve">  Recommended: fix all naming issues in one batch before turning on filters, so Search &amp; Discovery sees clean data.</t>
  </si>
  <si>
    <t>Complete Inventory of Product Option Types</t>
  </si>
  <si>
    <t>35,749 active products scanned | 17,253 Default Title (no options) | 18,496 with options</t>
  </si>
  <si>
    <t>Option Name</t>
  </si>
  <si>
    <t>Unique Values</t>
  </si>
  <si>
    <t>Naming Variants</t>
  </si>
  <si>
    <t>Notes</t>
  </si>
  <si>
    <t>color</t>
  </si>
  <si>
    <t>Color:12762, COLOR:4019, color:17</t>
  </si>
  <si>
    <t>PRIMARY — needs swatch config + naming fix</t>
  </si>
  <si>
    <t>size</t>
  </si>
  <si>
    <t>Size:7097, SIZE:2805</t>
  </si>
  <si>
    <t>PRIMARY — needs naming fix</t>
  </si>
  <si>
    <t>style</t>
  </si>
  <si>
    <t>STYLE:116, Style:98</t>
  </si>
  <si>
    <t>Minor — mostly H O A and J E W</t>
  </si>
  <si>
    <t>scent</t>
  </si>
  <si>
    <t>SCENT:24, Scent:3</t>
  </si>
  <si>
    <t>Niche — home goods and candles</t>
  </si>
  <si>
    <t>shoe size</t>
  </si>
  <si>
    <t>Shoe size:24</t>
  </si>
  <si>
    <t>Clean — shoes only</t>
  </si>
  <si>
    <t>color (trailing space)</t>
  </si>
  <si>
    <t>COLOR :11, Color :2, color :1</t>
  </si>
  <si>
    <t>BUG — trailing space, merge into Color</t>
  </si>
  <si>
    <t>colors</t>
  </si>
  <si>
    <t>COLORS:7</t>
  </si>
  <si>
    <t>BUG — merge into Color</t>
  </si>
  <si>
    <t>style (trailing space)</t>
  </si>
  <si>
    <t>STYLE :5, style :1</t>
  </si>
  <si>
    <t>BUG — trailing space, merge into Style</t>
  </si>
  <si>
    <t>print</t>
  </si>
  <si>
    <t>PRINT:4, Print:2</t>
  </si>
  <si>
    <t>Niche — baby/kids patterns</t>
  </si>
  <si>
    <t>strength</t>
  </si>
  <si>
    <t>STRENGTH:5</t>
  </si>
  <si>
    <t>Reading glasses magnification</t>
  </si>
  <si>
    <t>ring size</t>
  </si>
  <si>
    <t>Ring size:4</t>
  </si>
  <si>
    <t>Niche — jewelry</t>
  </si>
  <si>
    <t>size (trailing space)</t>
  </si>
  <si>
    <t>SIZE :3</t>
  </si>
  <si>
    <t>BUG — trailing space, merge into Size</t>
  </si>
  <si>
    <t>fragrance</t>
  </si>
  <si>
    <t>FRAGRANCE:2</t>
  </si>
  <si>
    <t>Niche</t>
  </si>
  <si>
    <t>black</t>
  </si>
  <si>
    <t>BLACK:2</t>
  </si>
  <si>
    <t>BUG — color value used as option name</t>
  </si>
  <si>
    <t>initial</t>
  </si>
  <si>
    <t>INITIAL:1</t>
  </si>
  <si>
    <t>Niche — monogram jewelry</t>
  </si>
  <si>
    <t>oclor</t>
  </si>
  <si>
    <t>OCLOR:1</t>
  </si>
  <si>
    <t>TYPO — should be Color</t>
  </si>
  <si>
    <t>coilor</t>
  </si>
  <si>
    <t>Coilor:1</t>
  </si>
  <si>
    <t>coor</t>
  </si>
  <si>
    <t>COOR:1</t>
  </si>
  <si>
    <t>s1ze</t>
  </si>
  <si>
    <t>S1ze:1</t>
  </si>
  <si>
    <t>TYPO — should be Size</t>
  </si>
  <si>
    <t>siz</t>
  </si>
  <si>
    <t>Siz:1</t>
  </si>
  <si>
    <t>material</t>
  </si>
  <si>
    <t>MATERIAL:1</t>
  </si>
  <si>
    <t>Should be a metafield, not variant option</t>
  </si>
  <si>
    <t>flavor</t>
  </si>
  <si>
    <t>Flavor:1</t>
  </si>
  <si>
    <t>Niche — food</t>
  </si>
  <si>
    <t>lip balm tint</t>
  </si>
  <si>
    <t>LIP BALM TINT:1</t>
  </si>
  <si>
    <t>design</t>
  </si>
  <si>
    <t>DESIGN:1</t>
  </si>
  <si>
    <t>download our app now!</t>
  </si>
  <si>
    <t>Download Our App Now!:1</t>
  </si>
  <si>
    <t>JUNK — not a real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</si>
</sst>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2C3E50"/>
      <name val="Arial"/>
    </font>
    <font>
      <sz val="10"/>
      <color rgb="FF7F8C8D"/>
      <name val="Arial"/>
    </font>
    <font>
      <b/>
      <sz val="11"/>
      <color rgb="FF2C3E50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4"/>
      <color rgb="FF2C3E50"/>
      <name val="Arial"/>
    </font>
    <font>
      <sz val="10"/>
      <color rgb="FFC0392B"/>
      <name val="Arial"/>
    </font>
    <font>
      <b/>
      <sz val="10"/>
      <color rgb="FF27AE60"/>
      <name val="Arial"/>
    </font>
  </fonts>
  <fills count="6">
    <fill>
      <patternFill patternType="none"/>
    </fill>
    <fill>
      <patternFill patternType="gray125"/>
    </fill>
    <fill>
      <patternFill patternType="solid">
        <fgColor rgb="FFD5DBDB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ECF0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BDC3C7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0" fillId="0" borderId="1" xfId="0" applyBorder="1"/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3" fontId="5" fillId="2" borderId="1" xfId="0" applyNumberFormat="1" applyFont="1" applyFill="1" applyBorder="1"/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1" xfId="0" applyFont="1" applyBorder="1"/>
    <xf numFmtId="0" fontId="5" fillId="0" borderId="1" xfId="0" applyFont="1" applyBorder="1"/>
    <xf numFmtId="3" fontId="5" fillId="0" borderId="1" xfId="0" applyNumberFormat="1" applyFont="1" applyBorder="1"/>
    <xf numFmtId="0" fontId="6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/>
    <xf numFmtId="164" fontId="4" fillId="4" borderId="1" xfId="0" applyNumberFormat="1" applyFont="1" applyFill="1" applyBorder="1"/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/>
    <xf numFmtId="164" fontId="4" fillId="5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3" fontId="4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6" fillId="3" borderId="0" xfId="0" applyFont="1" applyFill="1"/>
    <xf numFmtId="0" fontId="3" fillId="0" borderId="0" xfId="0" applyFont="1"/>
    <xf numFmtId="0" fontId="8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10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C39"/>
  <sheetViews>
    <sheetView tabSelected="1" workbookViewId="0">
      <selection activeCell="H34" sqref="H34"/>
    </sheetView>
  </sheetViews>
  <sheetFormatPr defaultRowHeight="15" x14ac:dyDescent="0.25"/>
  <cols>
    <col min="1" max="1" width="38" customWidth="1"/>
    <col min="2" max="2" width="18" customWidth="1"/>
    <col min="3" max="3" width="14" customWidth="1"/>
  </cols>
  <sheetData>
    <row r="1" spans="1:3" ht="20.25" x14ac:dyDescent="0.25">
      <c r="A1" s="41" t="s">
        <v>0</v>
      </c>
      <c r="B1" s="42"/>
      <c r="C1" s="42"/>
    </row>
    <row r="2" spans="1:3" x14ac:dyDescent="0.25">
      <c r="A2" s="1" t="s">
        <v>1</v>
      </c>
    </row>
    <row r="3" spans="1:3" x14ac:dyDescent="0.25">
      <c r="A3" s="1" t="s">
        <v>2</v>
      </c>
    </row>
    <row r="5" spans="1:3" x14ac:dyDescent="0.25">
      <c r="A5" s="2" t="s">
        <v>3</v>
      </c>
      <c r="B5" s="3"/>
      <c r="C5" s="3"/>
    </row>
    <row r="6" spans="1:3" x14ac:dyDescent="0.25">
      <c r="A6" s="4" t="s">
        <v>4</v>
      </c>
      <c r="B6" s="5">
        <v>35721</v>
      </c>
      <c r="C6" s="6"/>
    </row>
    <row r="7" spans="1:3" x14ac:dyDescent="0.25">
      <c r="A7" s="4" t="s">
        <v>5</v>
      </c>
      <c r="B7" s="5">
        <v>11747</v>
      </c>
      <c r="C7" s="7">
        <f>B7/B6</f>
        <v>0.32885417541502199</v>
      </c>
    </row>
    <row r="8" spans="1:3" x14ac:dyDescent="0.25">
      <c r="A8" s="4" t="s">
        <v>6</v>
      </c>
      <c r="B8" s="5">
        <v>23974</v>
      </c>
      <c r="C8" s="7">
        <f>B8/B6</f>
        <v>0.67114582458497807</v>
      </c>
    </row>
    <row r="9" spans="1:3" x14ac:dyDescent="0.25">
      <c r="A9" s="4" t="s">
        <v>7</v>
      </c>
      <c r="B9" s="5">
        <v>17245</v>
      </c>
      <c r="C9" s="7">
        <f>B9/B6</f>
        <v>0.48276923938299598</v>
      </c>
    </row>
    <row r="11" spans="1:3" x14ac:dyDescent="0.25">
      <c r="A11" s="2" t="s">
        <v>8</v>
      </c>
      <c r="B11" s="3"/>
      <c r="C11" s="3"/>
    </row>
    <row r="12" spans="1:3" x14ac:dyDescent="0.25">
      <c r="A12" s="4" t="s">
        <v>9</v>
      </c>
      <c r="B12" s="5">
        <v>16783</v>
      </c>
      <c r="C12" s="7">
        <f>B12/B6</f>
        <v>0.46983567089387196</v>
      </c>
    </row>
    <row r="13" spans="1:3" x14ac:dyDescent="0.25">
      <c r="A13" s="4" t="s">
        <v>10</v>
      </c>
      <c r="B13" s="5">
        <v>18938</v>
      </c>
      <c r="C13" s="7">
        <f>B13/B6</f>
        <v>0.5301643291061281</v>
      </c>
    </row>
    <row r="14" spans="1:3" x14ac:dyDescent="0.25">
      <c r="A14" s="4" t="s">
        <v>11</v>
      </c>
      <c r="B14" s="5">
        <v>5420</v>
      </c>
      <c r="C14" s="7">
        <f>B14/B7</f>
        <v>0.4613943985698476</v>
      </c>
    </row>
    <row r="15" spans="1:3" x14ac:dyDescent="0.25">
      <c r="A15" s="4" t="s">
        <v>12</v>
      </c>
      <c r="B15" s="5">
        <v>6327</v>
      </c>
      <c r="C15" s="7">
        <f>B15/B7</f>
        <v>0.53860560143015235</v>
      </c>
    </row>
    <row r="17" spans="1:3" x14ac:dyDescent="0.25">
      <c r="A17" s="2" t="s">
        <v>13</v>
      </c>
      <c r="B17" s="3"/>
      <c r="C17" s="3"/>
    </row>
    <row r="18" spans="1:3" x14ac:dyDescent="0.25">
      <c r="A18" s="4" t="s">
        <v>14</v>
      </c>
      <c r="B18" s="5">
        <v>12747</v>
      </c>
      <c r="C18" s="7">
        <f>B18/B12</f>
        <v>0.75951856044807242</v>
      </c>
    </row>
    <row r="19" spans="1:3" x14ac:dyDescent="0.25">
      <c r="A19" s="4" t="s">
        <v>15</v>
      </c>
      <c r="B19" s="5">
        <v>4019</v>
      </c>
      <c r="C19" s="7">
        <f>B19/B12</f>
        <v>0.23946850980158493</v>
      </c>
    </row>
    <row r="20" spans="1:3" x14ac:dyDescent="0.25">
      <c r="A20" s="4" t="s">
        <v>16</v>
      </c>
      <c r="B20" s="5">
        <v>17</v>
      </c>
      <c r="C20" s="7">
        <f>B20/B12</f>
        <v>1.0129297503426087E-3</v>
      </c>
    </row>
    <row r="22" spans="1:3" x14ac:dyDescent="0.25">
      <c r="A22" s="2" t="s">
        <v>17</v>
      </c>
      <c r="B22" s="3"/>
      <c r="C22" s="3"/>
    </row>
    <row r="23" spans="1:3" x14ac:dyDescent="0.25">
      <c r="A23" s="4" t="s">
        <v>18</v>
      </c>
      <c r="B23" s="5">
        <v>1374</v>
      </c>
      <c r="C23" s="8" t="s">
        <v>19</v>
      </c>
    </row>
    <row r="24" spans="1:3" x14ac:dyDescent="0.25">
      <c r="A24" s="4" t="s">
        <v>20</v>
      </c>
      <c r="B24" s="5">
        <v>405</v>
      </c>
      <c r="C24" s="6"/>
    </row>
    <row r="25" spans="1:3" x14ac:dyDescent="0.25">
      <c r="A25" s="4" t="s">
        <v>21</v>
      </c>
      <c r="B25" s="5">
        <v>6052</v>
      </c>
      <c r="C25" s="6"/>
    </row>
    <row r="26" spans="1:3" x14ac:dyDescent="0.25">
      <c r="A26" s="4" t="s">
        <v>22</v>
      </c>
      <c r="B26" s="5">
        <v>1514</v>
      </c>
      <c r="C26" s="8" t="s">
        <v>23</v>
      </c>
    </row>
    <row r="27" spans="1:3" x14ac:dyDescent="0.25">
      <c r="A27" s="2" t="s">
        <v>24</v>
      </c>
      <c r="B27" s="3"/>
      <c r="C27" s="3"/>
    </row>
    <row r="28" spans="1:3" x14ac:dyDescent="0.25">
      <c r="A28" s="9" t="s">
        <v>25</v>
      </c>
      <c r="B28" s="10">
        <v>9902</v>
      </c>
      <c r="C28" s="11"/>
    </row>
    <row r="29" spans="1:3" x14ac:dyDescent="0.25">
      <c r="A29" s="4" t="s">
        <v>26</v>
      </c>
      <c r="B29" s="5">
        <v>3129</v>
      </c>
      <c r="C29" s="8" t="s">
        <v>27</v>
      </c>
    </row>
    <row r="30" spans="1:3" x14ac:dyDescent="0.25">
      <c r="A30" s="4" t="s">
        <v>28</v>
      </c>
      <c r="B30" s="5">
        <v>7097</v>
      </c>
      <c r="C30" s="8" t="s">
        <v>29</v>
      </c>
    </row>
    <row r="31" spans="1:3" x14ac:dyDescent="0.25">
      <c r="A31" s="4" t="s">
        <v>30</v>
      </c>
      <c r="B31" s="5">
        <v>2805</v>
      </c>
      <c r="C31" s="8" t="s">
        <v>31</v>
      </c>
    </row>
    <row r="32" spans="1:3" x14ac:dyDescent="0.25">
      <c r="A32" s="4" t="s">
        <v>32</v>
      </c>
      <c r="B32" s="5">
        <v>479</v>
      </c>
      <c r="C32" s="8" t="s">
        <v>33</v>
      </c>
    </row>
    <row r="33" spans="1:3" x14ac:dyDescent="0.25">
      <c r="A33" s="4" t="s">
        <v>34</v>
      </c>
      <c r="B33" s="5">
        <v>3967</v>
      </c>
      <c r="C33" s="8" t="s">
        <v>35</v>
      </c>
    </row>
    <row r="34" spans="1:3" x14ac:dyDescent="0.25">
      <c r="A34" s="12" t="s">
        <v>36</v>
      </c>
      <c r="B34" s="13">
        <v>11061</v>
      </c>
      <c r="C34" s="14" t="s">
        <v>37</v>
      </c>
    </row>
    <row r="35" spans="1:3" x14ac:dyDescent="0.25">
      <c r="A35" s="15" t="s">
        <v>38</v>
      </c>
      <c r="B35" s="16" t="s">
        <v>39</v>
      </c>
    </row>
    <row r="36" spans="1:3" x14ac:dyDescent="0.25">
      <c r="A36" s="15" t="s">
        <v>40</v>
      </c>
      <c r="B36" s="16" t="s">
        <v>41</v>
      </c>
    </row>
    <row r="37" spans="1:3" x14ac:dyDescent="0.25">
      <c r="A37" s="15" t="s">
        <v>42</v>
      </c>
      <c r="B37" s="16" t="s">
        <v>43</v>
      </c>
    </row>
    <row r="38" spans="1:3" x14ac:dyDescent="0.25">
      <c r="A38" s="15" t="s">
        <v>44</v>
      </c>
      <c r="B38" s="16" t="s">
        <v>45</v>
      </c>
    </row>
    <row r="39" spans="1:3" x14ac:dyDescent="0.25">
      <c r="A39" s="15" t="s">
        <v>46</v>
      </c>
      <c r="B39" s="17">
        <v>17253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G86"/>
  <sheetViews>
    <sheetView topLeftCell="A34" workbookViewId="0">
      <selection activeCell="I21" sqref="I21"/>
    </sheetView>
  </sheetViews>
  <sheetFormatPr defaultRowHeight="15" x14ac:dyDescent="0.25"/>
  <cols>
    <col min="1" max="2" width="16" customWidth="1"/>
    <col min="3" max="3" width="12" customWidth="1"/>
    <col min="4" max="6" width="18" customWidth="1"/>
    <col min="7" max="7" width="22" customWidth="1"/>
  </cols>
  <sheetData>
    <row r="1" spans="1:7" x14ac:dyDescent="0.25">
      <c r="A1" s="18" t="s">
        <v>47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53</v>
      </c>
    </row>
    <row r="2" spans="1:7" x14ac:dyDescent="0.25">
      <c r="A2" s="19" t="s">
        <v>54</v>
      </c>
      <c r="B2" s="20">
        <v>12798</v>
      </c>
      <c r="C2" s="20">
        <v>3991</v>
      </c>
      <c r="D2" s="20">
        <v>3551</v>
      </c>
      <c r="E2" s="20">
        <v>1056</v>
      </c>
      <c r="F2" s="21">
        <f t="shared" ref="F2:F33" si="0">IF(B2=0,"-",D2/B2)</f>
        <v>0.27746522894202219</v>
      </c>
      <c r="G2" s="21">
        <f t="shared" ref="G2:G33" si="1">IF(C2=0,"-",E2/C2)</f>
        <v>0.26459533951390629</v>
      </c>
    </row>
    <row r="3" spans="1:7" x14ac:dyDescent="0.25">
      <c r="A3" s="22" t="s">
        <v>55</v>
      </c>
      <c r="B3" s="23">
        <v>3880</v>
      </c>
      <c r="C3" s="23">
        <v>1599</v>
      </c>
      <c r="D3" s="23">
        <v>649</v>
      </c>
      <c r="E3" s="23">
        <v>298</v>
      </c>
      <c r="F3" s="24">
        <f t="shared" si="0"/>
        <v>0.16726804123711339</v>
      </c>
      <c r="G3" s="24">
        <f t="shared" si="1"/>
        <v>0.18636647904940587</v>
      </c>
    </row>
    <row r="4" spans="1:7" x14ac:dyDescent="0.25">
      <c r="A4" s="19" t="s">
        <v>56</v>
      </c>
      <c r="B4" s="20">
        <v>2247</v>
      </c>
      <c r="C4" s="20">
        <v>628</v>
      </c>
      <c r="D4" s="20">
        <v>1479</v>
      </c>
      <c r="E4" s="20">
        <v>465</v>
      </c>
      <c r="F4" s="21">
        <f t="shared" si="0"/>
        <v>0.65821094793057411</v>
      </c>
      <c r="G4" s="21">
        <f t="shared" si="1"/>
        <v>0.74044585987261147</v>
      </c>
    </row>
    <row r="5" spans="1:7" x14ac:dyDescent="0.25">
      <c r="A5" s="22" t="s">
        <v>57</v>
      </c>
      <c r="B5" s="23">
        <v>2019</v>
      </c>
      <c r="C5" s="23">
        <v>488</v>
      </c>
      <c r="D5" s="23">
        <v>1798</v>
      </c>
      <c r="E5" s="23">
        <v>448</v>
      </c>
      <c r="F5" s="24">
        <f t="shared" si="0"/>
        <v>0.89053987122337785</v>
      </c>
      <c r="G5" s="24">
        <f t="shared" si="1"/>
        <v>0.91803278688524592</v>
      </c>
    </row>
    <row r="6" spans="1:7" x14ac:dyDescent="0.25">
      <c r="A6" s="19" t="s">
        <v>58</v>
      </c>
      <c r="B6" s="20">
        <v>1911</v>
      </c>
      <c r="C6" s="20">
        <v>739</v>
      </c>
      <c r="D6" s="20">
        <v>827</v>
      </c>
      <c r="E6" s="20">
        <v>311</v>
      </c>
      <c r="F6" s="21">
        <f t="shared" si="0"/>
        <v>0.43275771847200417</v>
      </c>
      <c r="G6" s="21">
        <f t="shared" si="1"/>
        <v>0.42083897158322059</v>
      </c>
    </row>
    <row r="7" spans="1:7" x14ac:dyDescent="0.25">
      <c r="A7" s="22" t="s">
        <v>59</v>
      </c>
      <c r="B7" s="23">
        <v>1270</v>
      </c>
      <c r="C7" s="23">
        <v>251</v>
      </c>
      <c r="D7" s="23">
        <v>1079</v>
      </c>
      <c r="E7" s="23">
        <v>232</v>
      </c>
      <c r="F7" s="24">
        <f t="shared" si="0"/>
        <v>0.84960629921259845</v>
      </c>
      <c r="G7" s="24">
        <f t="shared" si="1"/>
        <v>0.92430278884462147</v>
      </c>
    </row>
    <row r="8" spans="1:7" x14ac:dyDescent="0.25">
      <c r="A8" s="19" t="s">
        <v>60</v>
      </c>
      <c r="B8" s="20">
        <v>905</v>
      </c>
      <c r="C8" s="20">
        <v>408</v>
      </c>
      <c r="D8" s="20">
        <v>893</v>
      </c>
      <c r="E8" s="20">
        <v>403</v>
      </c>
      <c r="F8" s="21">
        <f t="shared" si="0"/>
        <v>0.9867403314917127</v>
      </c>
      <c r="G8" s="21">
        <f t="shared" si="1"/>
        <v>0.98774509803921573</v>
      </c>
    </row>
    <row r="9" spans="1:7" x14ac:dyDescent="0.25">
      <c r="A9" s="22" t="s">
        <v>61</v>
      </c>
      <c r="B9" s="23">
        <v>891</v>
      </c>
      <c r="C9" s="23">
        <v>382</v>
      </c>
      <c r="D9" s="23">
        <v>127</v>
      </c>
      <c r="E9" s="23">
        <v>61</v>
      </c>
      <c r="F9" s="24">
        <f t="shared" si="0"/>
        <v>0.14253647586980919</v>
      </c>
      <c r="G9" s="24">
        <f t="shared" si="1"/>
        <v>0.15968586387434555</v>
      </c>
    </row>
    <row r="10" spans="1:7" x14ac:dyDescent="0.25">
      <c r="A10" s="19" t="s">
        <v>62</v>
      </c>
      <c r="B10" s="20">
        <v>778</v>
      </c>
      <c r="C10" s="20">
        <v>273</v>
      </c>
      <c r="D10" s="20">
        <v>208</v>
      </c>
      <c r="E10" s="20">
        <v>54</v>
      </c>
      <c r="F10" s="21">
        <f t="shared" si="0"/>
        <v>0.26735218508997427</v>
      </c>
      <c r="G10" s="21">
        <f t="shared" si="1"/>
        <v>0.19780219780219779</v>
      </c>
    </row>
    <row r="11" spans="1:7" x14ac:dyDescent="0.25">
      <c r="A11" s="22" t="s">
        <v>63</v>
      </c>
      <c r="B11" s="23">
        <v>707</v>
      </c>
      <c r="C11" s="23">
        <v>205</v>
      </c>
      <c r="D11" s="23">
        <v>99</v>
      </c>
      <c r="E11" s="23">
        <v>40</v>
      </c>
      <c r="F11" s="24">
        <f t="shared" si="0"/>
        <v>0.14002828854314003</v>
      </c>
      <c r="G11" s="24">
        <f t="shared" si="1"/>
        <v>0.1951219512195122</v>
      </c>
    </row>
    <row r="12" spans="1:7" x14ac:dyDescent="0.25">
      <c r="A12" s="19" t="s">
        <v>64</v>
      </c>
      <c r="B12" s="20">
        <v>616</v>
      </c>
      <c r="C12" s="20">
        <v>163</v>
      </c>
      <c r="D12" s="20">
        <v>533</v>
      </c>
      <c r="E12" s="20">
        <v>152</v>
      </c>
      <c r="F12" s="21">
        <f t="shared" si="0"/>
        <v>0.86525974025974028</v>
      </c>
      <c r="G12" s="21">
        <f t="shared" si="1"/>
        <v>0.93251533742331283</v>
      </c>
    </row>
    <row r="13" spans="1:7" x14ac:dyDescent="0.25">
      <c r="A13" s="22" t="s">
        <v>65</v>
      </c>
      <c r="B13" s="23">
        <v>507</v>
      </c>
      <c r="C13" s="23">
        <v>169</v>
      </c>
      <c r="D13" s="23">
        <v>200</v>
      </c>
      <c r="E13" s="23">
        <v>62</v>
      </c>
      <c r="F13" s="24">
        <f t="shared" si="0"/>
        <v>0.39447731755424065</v>
      </c>
      <c r="G13" s="24">
        <f t="shared" si="1"/>
        <v>0.36686390532544377</v>
      </c>
    </row>
    <row r="14" spans="1:7" x14ac:dyDescent="0.25">
      <c r="A14" s="19" t="s">
        <v>66</v>
      </c>
      <c r="B14" s="20">
        <v>485</v>
      </c>
      <c r="C14" s="20">
        <v>175</v>
      </c>
      <c r="D14" s="20">
        <v>474</v>
      </c>
      <c r="E14" s="20">
        <v>174</v>
      </c>
      <c r="F14" s="21">
        <f t="shared" si="0"/>
        <v>0.97731958762886595</v>
      </c>
      <c r="G14" s="21">
        <f t="shared" si="1"/>
        <v>0.99428571428571433</v>
      </c>
    </row>
    <row r="15" spans="1:7" x14ac:dyDescent="0.25">
      <c r="A15" s="22" t="s">
        <v>67</v>
      </c>
      <c r="B15" s="23">
        <v>468</v>
      </c>
      <c r="C15" s="23">
        <v>115</v>
      </c>
      <c r="D15" s="23">
        <v>404</v>
      </c>
      <c r="E15" s="23">
        <v>104</v>
      </c>
      <c r="F15" s="24">
        <f t="shared" si="0"/>
        <v>0.86324786324786329</v>
      </c>
      <c r="G15" s="24">
        <f t="shared" si="1"/>
        <v>0.90434782608695652</v>
      </c>
    </row>
    <row r="16" spans="1:7" x14ac:dyDescent="0.25">
      <c r="A16" s="19" t="s">
        <v>68</v>
      </c>
      <c r="B16" s="20">
        <v>456</v>
      </c>
      <c r="C16" s="20">
        <v>219</v>
      </c>
      <c r="D16" s="20">
        <v>415</v>
      </c>
      <c r="E16" s="20">
        <v>185</v>
      </c>
      <c r="F16" s="21">
        <f t="shared" si="0"/>
        <v>0.91008771929824561</v>
      </c>
      <c r="G16" s="21">
        <f t="shared" si="1"/>
        <v>0.84474885844748859</v>
      </c>
    </row>
    <row r="17" spans="1:7" x14ac:dyDescent="0.25">
      <c r="A17" s="22" t="s">
        <v>69</v>
      </c>
      <c r="B17" s="23">
        <v>456</v>
      </c>
      <c r="C17" s="23">
        <v>208</v>
      </c>
      <c r="D17" s="23">
        <v>446</v>
      </c>
      <c r="E17" s="23">
        <v>202</v>
      </c>
      <c r="F17" s="24">
        <f t="shared" si="0"/>
        <v>0.97807017543859653</v>
      </c>
      <c r="G17" s="24">
        <f t="shared" si="1"/>
        <v>0.97115384615384615</v>
      </c>
    </row>
    <row r="18" spans="1:7" x14ac:dyDescent="0.25">
      <c r="A18" s="19" t="s">
        <v>70</v>
      </c>
      <c r="B18" s="20">
        <v>448</v>
      </c>
      <c r="C18" s="20">
        <v>148</v>
      </c>
      <c r="D18" s="20">
        <v>292</v>
      </c>
      <c r="E18" s="20">
        <v>121</v>
      </c>
      <c r="F18" s="21">
        <f t="shared" si="0"/>
        <v>0.6517857142857143</v>
      </c>
      <c r="G18" s="21">
        <f t="shared" si="1"/>
        <v>0.81756756756756754</v>
      </c>
    </row>
    <row r="19" spans="1:7" x14ac:dyDescent="0.25">
      <c r="A19" s="22" t="s">
        <v>71</v>
      </c>
      <c r="B19" s="23">
        <v>407</v>
      </c>
      <c r="C19" s="23">
        <v>80</v>
      </c>
      <c r="D19" s="23">
        <v>329</v>
      </c>
      <c r="E19" s="23">
        <v>55</v>
      </c>
      <c r="F19" s="24">
        <f t="shared" si="0"/>
        <v>0.80835380835380832</v>
      </c>
      <c r="G19" s="24">
        <f t="shared" si="1"/>
        <v>0.6875</v>
      </c>
    </row>
    <row r="20" spans="1:7" x14ac:dyDescent="0.25">
      <c r="A20" s="19" t="s">
        <v>72</v>
      </c>
      <c r="B20" s="20">
        <v>393</v>
      </c>
      <c r="C20" s="20">
        <v>92</v>
      </c>
      <c r="D20" s="20">
        <v>221</v>
      </c>
      <c r="E20" s="20">
        <v>36</v>
      </c>
      <c r="F20" s="21">
        <f t="shared" si="0"/>
        <v>0.56234096692111957</v>
      </c>
      <c r="G20" s="21">
        <f t="shared" si="1"/>
        <v>0.39130434782608697</v>
      </c>
    </row>
    <row r="21" spans="1:7" x14ac:dyDescent="0.25">
      <c r="A21" s="22" t="s">
        <v>73</v>
      </c>
      <c r="B21" s="23">
        <v>311</v>
      </c>
      <c r="C21" s="23">
        <v>122</v>
      </c>
      <c r="D21" s="23">
        <v>298</v>
      </c>
      <c r="E21" s="23">
        <v>122</v>
      </c>
      <c r="F21" s="24">
        <f t="shared" si="0"/>
        <v>0.95819935691318325</v>
      </c>
      <c r="G21" s="24">
        <f t="shared" si="1"/>
        <v>1</v>
      </c>
    </row>
    <row r="22" spans="1:7" x14ac:dyDescent="0.25">
      <c r="A22" s="19" t="s">
        <v>74</v>
      </c>
      <c r="B22" s="20">
        <v>265</v>
      </c>
      <c r="C22" s="20">
        <v>55</v>
      </c>
      <c r="D22" s="20">
        <v>213</v>
      </c>
      <c r="E22" s="20">
        <v>53</v>
      </c>
      <c r="F22" s="21">
        <f t="shared" si="0"/>
        <v>0.80377358490566042</v>
      </c>
      <c r="G22" s="21">
        <f t="shared" si="1"/>
        <v>0.96363636363636362</v>
      </c>
    </row>
    <row r="23" spans="1:7" x14ac:dyDescent="0.25">
      <c r="A23" s="22" t="s">
        <v>75</v>
      </c>
      <c r="B23" s="23">
        <v>263</v>
      </c>
      <c r="C23" s="23">
        <v>50</v>
      </c>
      <c r="D23" s="23">
        <v>233</v>
      </c>
      <c r="E23" s="23">
        <v>50</v>
      </c>
      <c r="F23" s="24">
        <f t="shared" si="0"/>
        <v>0.88593155893536124</v>
      </c>
      <c r="G23" s="24">
        <f t="shared" si="1"/>
        <v>1</v>
      </c>
    </row>
    <row r="24" spans="1:7" x14ac:dyDescent="0.25">
      <c r="A24" s="19" t="s">
        <v>76</v>
      </c>
      <c r="B24" s="20">
        <v>251</v>
      </c>
      <c r="C24" s="20">
        <v>82</v>
      </c>
      <c r="D24" s="20">
        <v>216</v>
      </c>
      <c r="E24" s="20">
        <v>72</v>
      </c>
      <c r="F24" s="21">
        <f t="shared" si="0"/>
        <v>0.8605577689243028</v>
      </c>
      <c r="G24" s="21">
        <f t="shared" si="1"/>
        <v>0.87804878048780488</v>
      </c>
    </row>
    <row r="25" spans="1:7" x14ac:dyDescent="0.25">
      <c r="A25" s="22" t="s">
        <v>77</v>
      </c>
      <c r="B25" s="23">
        <v>229</v>
      </c>
      <c r="C25" s="23">
        <v>121</v>
      </c>
      <c r="D25" s="23">
        <v>87</v>
      </c>
      <c r="E25" s="23">
        <v>56</v>
      </c>
      <c r="F25" s="24">
        <f t="shared" si="0"/>
        <v>0.37991266375545851</v>
      </c>
      <c r="G25" s="24">
        <f t="shared" si="1"/>
        <v>0.46280991735537191</v>
      </c>
    </row>
    <row r="26" spans="1:7" x14ac:dyDescent="0.25">
      <c r="A26" s="19" t="s">
        <v>78</v>
      </c>
      <c r="B26" s="20">
        <v>219</v>
      </c>
      <c r="C26" s="20">
        <v>132</v>
      </c>
      <c r="D26" s="20">
        <v>62</v>
      </c>
      <c r="E26" s="20">
        <v>36</v>
      </c>
      <c r="F26" s="21">
        <f t="shared" si="0"/>
        <v>0.28310502283105021</v>
      </c>
      <c r="G26" s="21">
        <f t="shared" si="1"/>
        <v>0.27272727272727271</v>
      </c>
    </row>
    <row r="27" spans="1:7" x14ac:dyDescent="0.25">
      <c r="A27" s="22" t="s">
        <v>79</v>
      </c>
      <c r="B27" s="23">
        <v>211</v>
      </c>
      <c r="C27" s="23">
        <v>73</v>
      </c>
      <c r="D27" s="23">
        <v>76</v>
      </c>
      <c r="E27" s="23">
        <v>23</v>
      </c>
      <c r="F27" s="24">
        <f t="shared" si="0"/>
        <v>0.36018957345971564</v>
      </c>
      <c r="G27" s="24">
        <f t="shared" si="1"/>
        <v>0.31506849315068491</v>
      </c>
    </row>
    <row r="28" spans="1:7" x14ac:dyDescent="0.25">
      <c r="A28" s="19" t="s">
        <v>80</v>
      </c>
      <c r="B28" s="20">
        <v>205</v>
      </c>
      <c r="C28" s="20">
        <v>111</v>
      </c>
      <c r="D28" s="20">
        <v>93</v>
      </c>
      <c r="E28" s="20">
        <v>55</v>
      </c>
      <c r="F28" s="21">
        <f t="shared" si="0"/>
        <v>0.45365853658536587</v>
      </c>
      <c r="G28" s="21">
        <f t="shared" si="1"/>
        <v>0.49549549549549549</v>
      </c>
    </row>
    <row r="29" spans="1:7" x14ac:dyDescent="0.25">
      <c r="A29" s="22" t="s">
        <v>81</v>
      </c>
      <c r="B29" s="23">
        <v>165</v>
      </c>
      <c r="C29" s="23">
        <v>49</v>
      </c>
      <c r="D29" s="23">
        <v>81</v>
      </c>
      <c r="E29" s="23">
        <v>29</v>
      </c>
      <c r="F29" s="24">
        <f t="shared" si="0"/>
        <v>0.49090909090909091</v>
      </c>
      <c r="G29" s="24">
        <f t="shared" si="1"/>
        <v>0.59183673469387754</v>
      </c>
    </row>
    <row r="30" spans="1:7" x14ac:dyDescent="0.25">
      <c r="A30" s="19" t="s">
        <v>82</v>
      </c>
      <c r="B30" s="20">
        <v>151</v>
      </c>
      <c r="C30" s="20">
        <v>51</v>
      </c>
      <c r="D30" s="20">
        <v>145</v>
      </c>
      <c r="E30" s="20">
        <v>51</v>
      </c>
      <c r="F30" s="21">
        <f t="shared" si="0"/>
        <v>0.96026490066225167</v>
      </c>
      <c r="G30" s="21">
        <f t="shared" si="1"/>
        <v>1</v>
      </c>
    </row>
    <row r="31" spans="1:7" x14ac:dyDescent="0.25">
      <c r="A31" s="22" t="s">
        <v>83</v>
      </c>
      <c r="B31" s="23">
        <v>145</v>
      </c>
      <c r="C31" s="23">
        <v>28</v>
      </c>
      <c r="D31" s="23">
        <v>103</v>
      </c>
      <c r="E31" s="23">
        <v>27</v>
      </c>
      <c r="F31" s="24">
        <f t="shared" si="0"/>
        <v>0.71034482758620687</v>
      </c>
      <c r="G31" s="24">
        <f t="shared" si="1"/>
        <v>0.9642857142857143</v>
      </c>
    </row>
    <row r="32" spans="1:7" x14ac:dyDescent="0.25">
      <c r="A32" s="19" t="s">
        <v>84</v>
      </c>
      <c r="B32" s="20">
        <v>140</v>
      </c>
      <c r="C32" s="20">
        <v>43</v>
      </c>
      <c r="D32" s="20">
        <v>130</v>
      </c>
      <c r="E32" s="20">
        <v>42</v>
      </c>
      <c r="F32" s="21">
        <f t="shared" si="0"/>
        <v>0.9285714285714286</v>
      </c>
      <c r="G32" s="21">
        <f t="shared" si="1"/>
        <v>0.97674418604651159</v>
      </c>
    </row>
    <row r="33" spans="1:7" x14ac:dyDescent="0.25">
      <c r="A33" s="22" t="s">
        <v>85</v>
      </c>
      <c r="B33" s="23">
        <v>119</v>
      </c>
      <c r="C33" s="23">
        <v>43</v>
      </c>
      <c r="D33" s="23">
        <v>17</v>
      </c>
      <c r="E33" s="23">
        <v>5</v>
      </c>
      <c r="F33" s="24">
        <f t="shared" si="0"/>
        <v>0.14285714285714285</v>
      </c>
      <c r="G33" s="24">
        <f t="shared" si="1"/>
        <v>0.11627906976744186</v>
      </c>
    </row>
    <row r="34" spans="1:7" x14ac:dyDescent="0.25">
      <c r="A34" s="19" t="s">
        <v>86</v>
      </c>
      <c r="B34" s="20">
        <v>114</v>
      </c>
      <c r="C34" s="20">
        <v>34</v>
      </c>
      <c r="D34" s="20">
        <v>56</v>
      </c>
      <c r="E34" s="20">
        <v>20</v>
      </c>
      <c r="F34" s="21">
        <f t="shared" ref="F34:F65" si="2">IF(B34=0,"-",D34/B34)</f>
        <v>0.49122807017543857</v>
      </c>
      <c r="G34" s="21">
        <f t="shared" ref="G34:G65" si="3">IF(C34=0,"-",E34/C34)</f>
        <v>0.58823529411764708</v>
      </c>
    </row>
    <row r="35" spans="1:7" x14ac:dyDescent="0.25">
      <c r="A35" s="22" t="s">
        <v>87</v>
      </c>
      <c r="B35" s="23">
        <v>102</v>
      </c>
      <c r="C35" s="23">
        <v>8</v>
      </c>
      <c r="D35" s="23">
        <v>47</v>
      </c>
      <c r="E35" s="23">
        <v>4</v>
      </c>
      <c r="F35" s="24">
        <f t="shared" si="2"/>
        <v>0.46078431372549017</v>
      </c>
      <c r="G35" s="24">
        <f t="shared" si="3"/>
        <v>0.5</v>
      </c>
    </row>
    <row r="36" spans="1:7" x14ac:dyDescent="0.25">
      <c r="A36" s="19" t="s">
        <v>88</v>
      </c>
      <c r="B36" s="20">
        <v>93</v>
      </c>
      <c r="C36" s="20">
        <v>38</v>
      </c>
      <c r="D36" s="20">
        <v>84</v>
      </c>
      <c r="E36" s="20">
        <v>33</v>
      </c>
      <c r="F36" s="21">
        <f t="shared" si="2"/>
        <v>0.90322580645161288</v>
      </c>
      <c r="G36" s="21">
        <f t="shared" si="3"/>
        <v>0.86842105263157898</v>
      </c>
    </row>
    <row r="37" spans="1:7" x14ac:dyDescent="0.25">
      <c r="A37" s="22" t="s">
        <v>89</v>
      </c>
      <c r="B37" s="23">
        <v>81</v>
      </c>
      <c r="C37" s="23">
        <v>25</v>
      </c>
      <c r="D37" s="23">
        <v>76</v>
      </c>
      <c r="E37" s="23">
        <v>22</v>
      </c>
      <c r="F37" s="24">
        <f t="shared" si="2"/>
        <v>0.93827160493827155</v>
      </c>
      <c r="G37" s="24">
        <f t="shared" si="3"/>
        <v>0.88</v>
      </c>
    </row>
    <row r="38" spans="1:7" x14ac:dyDescent="0.25">
      <c r="A38" s="19" t="s">
        <v>90</v>
      </c>
      <c r="B38" s="20">
        <v>75</v>
      </c>
      <c r="C38" s="20">
        <v>12</v>
      </c>
      <c r="D38" s="20">
        <v>64</v>
      </c>
      <c r="E38" s="20">
        <v>11</v>
      </c>
      <c r="F38" s="21">
        <f t="shared" si="2"/>
        <v>0.85333333333333339</v>
      </c>
      <c r="G38" s="21">
        <f t="shared" si="3"/>
        <v>0.91666666666666663</v>
      </c>
    </row>
    <row r="39" spans="1:7" x14ac:dyDescent="0.25">
      <c r="A39" s="22" t="s">
        <v>91</v>
      </c>
      <c r="B39" s="23">
        <v>62</v>
      </c>
      <c r="C39" s="23">
        <v>19</v>
      </c>
      <c r="D39" s="23">
        <v>61</v>
      </c>
      <c r="E39" s="23">
        <v>18</v>
      </c>
      <c r="F39" s="24">
        <f t="shared" si="2"/>
        <v>0.9838709677419355</v>
      </c>
      <c r="G39" s="24">
        <f t="shared" si="3"/>
        <v>0.94736842105263153</v>
      </c>
    </row>
    <row r="40" spans="1:7" x14ac:dyDescent="0.25">
      <c r="A40" s="19" t="s">
        <v>92</v>
      </c>
      <c r="B40" s="20">
        <v>57</v>
      </c>
      <c r="C40" s="20">
        <v>35</v>
      </c>
      <c r="D40" s="20">
        <v>56</v>
      </c>
      <c r="E40" s="20">
        <v>35</v>
      </c>
      <c r="F40" s="21">
        <f t="shared" si="2"/>
        <v>0.98245614035087714</v>
      </c>
      <c r="G40" s="21">
        <f t="shared" si="3"/>
        <v>1</v>
      </c>
    </row>
    <row r="41" spans="1:7" x14ac:dyDescent="0.25">
      <c r="A41" s="22" t="s">
        <v>93</v>
      </c>
      <c r="B41" s="23">
        <v>52</v>
      </c>
      <c r="C41" s="23">
        <v>24</v>
      </c>
      <c r="D41" s="23">
        <v>48</v>
      </c>
      <c r="E41" s="23">
        <v>21</v>
      </c>
      <c r="F41" s="24">
        <f t="shared" si="2"/>
        <v>0.92307692307692313</v>
      </c>
      <c r="G41" s="24">
        <f t="shared" si="3"/>
        <v>0.875</v>
      </c>
    </row>
    <row r="42" spans="1:7" x14ac:dyDescent="0.25">
      <c r="A42" s="19" t="s">
        <v>94</v>
      </c>
      <c r="B42" s="20">
        <v>51</v>
      </c>
      <c r="C42" s="20">
        <v>24</v>
      </c>
      <c r="D42" s="20">
        <v>0</v>
      </c>
      <c r="E42" s="20">
        <v>0</v>
      </c>
      <c r="F42" s="21">
        <f t="shared" si="2"/>
        <v>0</v>
      </c>
      <c r="G42" s="21">
        <f t="shared" si="3"/>
        <v>0</v>
      </c>
    </row>
    <row r="43" spans="1:7" x14ac:dyDescent="0.25">
      <c r="A43" s="22" t="s">
        <v>95</v>
      </c>
      <c r="B43" s="23">
        <v>49</v>
      </c>
      <c r="C43" s="23">
        <v>25</v>
      </c>
      <c r="D43" s="23">
        <v>37</v>
      </c>
      <c r="E43" s="23">
        <v>19</v>
      </c>
      <c r="F43" s="24">
        <f t="shared" si="2"/>
        <v>0.75510204081632648</v>
      </c>
      <c r="G43" s="24">
        <f t="shared" si="3"/>
        <v>0.76</v>
      </c>
    </row>
    <row r="44" spans="1:7" x14ac:dyDescent="0.25">
      <c r="A44" s="19" t="s">
        <v>96</v>
      </c>
      <c r="B44" s="20">
        <v>46</v>
      </c>
      <c r="C44" s="20">
        <v>27</v>
      </c>
      <c r="D44" s="20">
        <v>3</v>
      </c>
      <c r="E44" s="20">
        <v>2</v>
      </c>
      <c r="F44" s="21">
        <f t="shared" si="2"/>
        <v>6.5217391304347824E-2</v>
      </c>
      <c r="G44" s="21">
        <f t="shared" si="3"/>
        <v>7.407407407407407E-2</v>
      </c>
    </row>
    <row r="45" spans="1:7" x14ac:dyDescent="0.25">
      <c r="A45" s="22" t="s">
        <v>97</v>
      </c>
      <c r="B45" s="23">
        <v>43</v>
      </c>
      <c r="C45" s="23">
        <v>16</v>
      </c>
      <c r="D45" s="23">
        <v>7</v>
      </c>
      <c r="E45" s="23">
        <v>7</v>
      </c>
      <c r="F45" s="24">
        <f t="shared" si="2"/>
        <v>0.16279069767441862</v>
      </c>
      <c r="G45" s="24">
        <f t="shared" si="3"/>
        <v>0.4375</v>
      </c>
    </row>
    <row r="46" spans="1:7" x14ac:dyDescent="0.25">
      <c r="A46" s="19" t="s">
        <v>98</v>
      </c>
      <c r="B46" s="20">
        <v>42</v>
      </c>
      <c r="C46" s="20">
        <v>12</v>
      </c>
      <c r="D46" s="20">
        <v>42</v>
      </c>
      <c r="E46" s="20">
        <v>12</v>
      </c>
      <c r="F46" s="21">
        <f t="shared" si="2"/>
        <v>1</v>
      </c>
      <c r="G46" s="21">
        <f t="shared" si="3"/>
        <v>1</v>
      </c>
    </row>
    <row r="47" spans="1:7" x14ac:dyDescent="0.25">
      <c r="A47" s="22" t="s">
        <v>99</v>
      </c>
      <c r="B47" s="23">
        <v>42</v>
      </c>
      <c r="C47" s="23">
        <v>11</v>
      </c>
      <c r="D47" s="23">
        <v>39</v>
      </c>
      <c r="E47" s="23">
        <v>10</v>
      </c>
      <c r="F47" s="24">
        <f t="shared" si="2"/>
        <v>0.9285714285714286</v>
      </c>
      <c r="G47" s="24">
        <f t="shared" si="3"/>
        <v>0.90909090909090906</v>
      </c>
    </row>
    <row r="48" spans="1:7" x14ac:dyDescent="0.25">
      <c r="A48" s="19" t="s">
        <v>100</v>
      </c>
      <c r="B48" s="20">
        <v>41</v>
      </c>
      <c r="C48" s="20">
        <v>20</v>
      </c>
      <c r="D48" s="20">
        <v>20</v>
      </c>
      <c r="E48" s="20">
        <v>8</v>
      </c>
      <c r="F48" s="21">
        <f t="shared" si="2"/>
        <v>0.48780487804878048</v>
      </c>
      <c r="G48" s="21">
        <f t="shared" si="3"/>
        <v>0.4</v>
      </c>
    </row>
    <row r="49" spans="1:7" x14ac:dyDescent="0.25">
      <c r="A49" s="22" t="s">
        <v>101</v>
      </c>
      <c r="B49" s="23">
        <v>39</v>
      </c>
      <c r="C49" s="23">
        <v>10</v>
      </c>
      <c r="D49" s="23">
        <v>35</v>
      </c>
      <c r="E49" s="23">
        <v>10</v>
      </c>
      <c r="F49" s="24">
        <f t="shared" si="2"/>
        <v>0.89743589743589747</v>
      </c>
      <c r="G49" s="24">
        <f t="shared" si="3"/>
        <v>1</v>
      </c>
    </row>
    <row r="50" spans="1:7" x14ac:dyDescent="0.25">
      <c r="A50" s="19" t="s">
        <v>102</v>
      </c>
      <c r="B50" s="20">
        <v>32</v>
      </c>
      <c r="C50" s="20">
        <v>2</v>
      </c>
      <c r="D50" s="20">
        <v>19</v>
      </c>
      <c r="E50" s="20">
        <v>2</v>
      </c>
      <c r="F50" s="21">
        <f t="shared" si="2"/>
        <v>0.59375</v>
      </c>
      <c r="G50" s="21">
        <f t="shared" si="3"/>
        <v>1</v>
      </c>
    </row>
    <row r="51" spans="1:7" x14ac:dyDescent="0.25">
      <c r="A51" s="22" t="s">
        <v>103</v>
      </c>
      <c r="B51" s="23">
        <v>28</v>
      </c>
      <c r="C51" s="23">
        <v>9</v>
      </c>
      <c r="D51" s="23">
        <v>28</v>
      </c>
      <c r="E51" s="23">
        <v>9</v>
      </c>
      <c r="F51" s="24">
        <f t="shared" si="2"/>
        <v>1</v>
      </c>
      <c r="G51" s="24">
        <f t="shared" si="3"/>
        <v>1</v>
      </c>
    </row>
    <row r="52" spans="1:7" x14ac:dyDescent="0.25">
      <c r="A52" s="19" t="s">
        <v>104</v>
      </c>
      <c r="B52" s="20">
        <v>28</v>
      </c>
      <c r="C52" s="20">
        <v>6</v>
      </c>
      <c r="D52" s="20">
        <v>23</v>
      </c>
      <c r="E52" s="20">
        <v>6</v>
      </c>
      <c r="F52" s="21">
        <f t="shared" si="2"/>
        <v>0.8214285714285714</v>
      </c>
      <c r="G52" s="21">
        <f t="shared" si="3"/>
        <v>1</v>
      </c>
    </row>
    <row r="53" spans="1:7" x14ac:dyDescent="0.25">
      <c r="A53" s="22" t="s">
        <v>105</v>
      </c>
      <c r="B53" s="23">
        <v>27</v>
      </c>
      <c r="C53" s="23">
        <v>3</v>
      </c>
      <c r="D53" s="23">
        <v>25</v>
      </c>
      <c r="E53" s="23">
        <v>3</v>
      </c>
      <c r="F53" s="24">
        <f t="shared" si="2"/>
        <v>0.92592592592592593</v>
      </c>
      <c r="G53" s="24">
        <f t="shared" si="3"/>
        <v>1</v>
      </c>
    </row>
    <row r="54" spans="1:7" x14ac:dyDescent="0.25">
      <c r="A54" s="19" t="s">
        <v>106</v>
      </c>
      <c r="B54" s="20">
        <v>27</v>
      </c>
      <c r="C54" s="20">
        <v>14</v>
      </c>
      <c r="D54" s="20">
        <v>27</v>
      </c>
      <c r="E54" s="20">
        <v>14</v>
      </c>
      <c r="F54" s="21">
        <f t="shared" si="2"/>
        <v>1</v>
      </c>
      <c r="G54" s="21">
        <f t="shared" si="3"/>
        <v>1</v>
      </c>
    </row>
    <row r="55" spans="1:7" x14ac:dyDescent="0.25">
      <c r="A55" s="22" t="s">
        <v>107</v>
      </c>
      <c r="B55" s="23">
        <v>26</v>
      </c>
      <c r="C55" s="23">
        <v>10</v>
      </c>
      <c r="D55" s="23">
        <v>25</v>
      </c>
      <c r="E55" s="23">
        <v>10</v>
      </c>
      <c r="F55" s="24">
        <f t="shared" si="2"/>
        <v>0.96153846153846156</v>
      </c>
      <c r="G55" s="24">
        <f t="shared" si="3"/>
        <v>1</v>
      </c>
    </row>
    <row r="56" spans="1:7" x14ac:dyDescent="0.25">
      <c r="A56" s="19" t="s">
        <v>108</v>
      </c>
      <c r="B56" s="20">
        <v>23</v>
      </c>
      <c r="C56" s="20">
        <v>16</v>
      </c>
      <c r="D56" s="20">
        <v>23</v>
      </c>
      <c r="E56" s="20">
        <v>16</v>
      </c>
      <c r="F56" s="21">
        <f t="shared" si="2"/>
        <v>1</v>
      </c>
      <c r="G56" s="21">
        <f t="shared" si="3"/>
        <v>1</v>
      </c>
    </row>
    <row r="57" spans="1:7" x14ac:dyDescent="0.25">
      <c r="A57" s="22" t="s">
        <v>109</v>
      </c>
      <c r="B57" s="23">
        <v>23</v>
      </c>
      <c r="C57" s="23">
        <v>4</v>
      </c>
      <c r="D57" s="23">
        <v>7</v>
      </c>
      <c r="E57" s="23">
        <v>2</v>
      </c>
      <c r="F57" s="24">
        <f t="shared" si="2"/>
        <v>0.30434782608695654</v>
      </c>
      <c r="G57" s="24">
        <f t="shared" si="3"/>
        <v>0.5</v>
      </c>
    </row>
    <row r="58" spans="1:7" x14ac:dyDescent="0.25">
      <c r="A58" s="19" t="s">
        <v>110</v>
      </c>
      <c r="B58" s="20">
        <v>21</v>
      </c>
      <c r="C58" s="20">
        <v>2</v>
      </c>
      <c r="D58" s="20">
        <v>20</v>
      </c>
      <c r="E58" s="20">
        <v>2</v>
      </c>
      <c r="F58" s="21">
        <f t="shared" si="2"/>
        <v>0.95238095238095233</v>
      </c>
      <c r="G58" s="21">
        <f t="shared" si="3"/>
        <v>1</v>
      </c>
    </row>
    <row r="59" spans="1:7" x14ac:dyDescent="0.25">
      <c r="A59" s="22" t="s">
        <v>111</v>
      </c>
      <c r="B59" s="23">
        <v>16</v>
      </c>
      <c r="C59" s="23">
        <v>1</v>
      </c>
      <c r="D59" s="23">
        <v>1</v>
      </c>
      <c r="E59" s="23">
        <v>1</v>
      </c>
      <c r="F59" s="24">
        <f t="shared" si="2"/>
        <v>6.25E-2</v>
      </c>
      <c r="G59" s="24">
        <f t="shared" si="3"/>
        <v>1</v>
      </c>
    </row>
    <row r="60" spans="1:7" x14ac:dyDescent="0.25">
      <c r="A60" s="19" t="s">
        <v>112</v>
      </c>
      <c r="B60" s="20">
        <v>16</v>
      </c>
      <c r="C60" s="20">
        <v>4</v>
      </c>
      <c r="D60" s="20">
        <v>13</v>
      </c>
      <c r="E60" s="20">
        <v>3</v>
      </c>
      <c r="F60" s="21">
        <f t="shared" si="2"/>
        <v>0.8125</v>
      </c>
      <c r="G60" s="21">
        <f t="shared" si="3"/>
        <v>0.75</v>
      </c>
    </row>
    <row r="61" spans="1:7" x14ac:dyDescent="0.25">
      <c r="A61" s="22" t="s">
        <v>113</v>
      </c>
      <c r="B61" s="23">
        <v>13</v>
      </c>
      <c r="C61" s="23">
        <v>8</v>
      </c>
      <c r="D61" s="23">
        <v>13</v>
      </c>
      <c r="E61" s="23">
        <v>8</v>
      </c>
      <c r="F61" s="24">
        <f t="shared" si="2"/>
        <v>1</v>
      </c>
      <c r="G61" s="24">
        <f t="shared" si="3"/>
        <v>1</v>
      </c>
    </row>
    <row r="62" spans="1:7" x14ac:dyDescent="0.25">
      <c r="A62" s="19" t="s">
        <v>114</v>
      </c>
      <c r="B62" s="20">
        <v>13</v>
      </c>
      <c r="C62" s="20">
        <v>4</v>
      </c>
      <c r="D62" s="20">
        <v>12</v>
      </c>
      <c r="E62" s="20">
        <v>4</v>
      </c>
      <c r="F62" s="21">
        <f t="shared" si="2"/>
        <v>0.92307692307692313</v>
      </c>
      <c r="G62" s="21">
        <f t="shared" si="3"/>
        <v>1</v>
      </c>
    </row>
    <row r="63" spans="1:7" x14ac:dyDescent="0.25">
      <c r="A63" s="22" t="s">
        <v>115</v>
      </c>
      <c r="B63" s="23">
        <v>12</v>
      </c>
      <c r="C63" s="23">
        <v>0</v>
      </c>
      <c r="D63" s="23">
        <v>9</v>
      </c>
      <c r="E63" s="23">
        <v>0</v>
      </c>
      <c r="F63" s="24">
        <f t="shared" si="2"/>
        <v>0.75</v>
      </c>
      <c r="G63" s="24" t="str">
        <f t="shared" si="3"/>
        <v>-</v>
      </c>
    </row>
    <row r="64" spans="1:7" x14ac:dyDescent="0.25">
      <c r="A64" s="19" t="s">
        <v>116</v>
      </c>
      <c r="B64" s="20">
        <v>11</v>
      </c>
      <c r="C64" s="20">
        <v>4</v>
      </c>
      <c r="D64" s="20">
        <v>10</v>
      </c>
      <c r="E64" s="20">
        <v>4</v>
      </c>
      <c r="F64" s="21">
        <f t="shared" si="2"/>
        <v>0.90909090909090906</v>
      </c>
      <c r="G64" s="21">
        <f t="shared" si="3"/>
        <v>1</v>
      </c>
    </row>
    <row r="65" spans="1:7" x14ac:dyDescent="0.25">
      <c r="A65" s="22" t="s">
        <v>117</v>
      </c>
      <c r="B65" s="23">
        <v>10</v>
      </c>
      <c r="C65" s="23">
        <v>2</v>
      </c>
      <c r="D65" s="23">
        <v>9</v>
      </c>
      <c r="E65" s="23">
        <v>2</v>
      </c>
      <c r="F65" s="24">
        <f t="shared" si="2"/>
        <v>0.9</v>
      </c>
      <c r="G65" s="24">
        <f t="shared" si="3"/>
        <v>1</v>
      </c>
    </row>
    <row r="66" spans="1:7" x14ac:dyDescent="0.25">
      <c r="A66" s="19" t="s">
        <v>118</v>
      </c>
      <c r="B66" s="20">
        <v>9</v>
      </c>
      <c r="C66" s="20">
        <v>3</v>
      </c>
      <c r="D66" s="20">
        <v>9</v>
      </c>
      <c r="E66" s="20">
        <v>3</v>
      </c>
      <c r="F66" s="21">
        <f t="shared" ref="F66:F86" si="4">IF(B66=0,"-",D66/B66)</f>
        <v>1</v>
      </c>
      <c r="G66" s="21">
        <f t="shared" ref="G66:G86" si="5">IF(C66=0,"-",E66/C66)</f>
        <v>1</v>
      </c>
    </row>
    <row r="67" spans="1:7" x14ac:dyDescent="0.25">
      <c r="A67" s="22" t="s">
        <v>119</v>
      </c>
      <c r="B67" s="23">
        <v>9</v>
      </c>
      <c r="C67" s="23">
        <v>1</v>
      </c>
      <c r="D67" s="23">
        <v>6</v>
      </c>
      <c r="E67" s="23">
        <v>1</v>
      </c>
      <c r="F67" s="24">
        <f t="shared" si="4"/>
        <v>0.66666666666666663</v>
      </c>
      <c r="G67" s="24">
        <f t="shared" si="5"/>
        <v>1</v>
      </c>
    </row>
    <row r="68" spans="1:7" x14ac:dyDescent="0.25">
      <c r="A68" s="19" t="s">
        <v>120</v>
      </c>
      <c r="B68" s="20">
        <v>8</v>
      </c>
      <c r="C68" s="20">
        <v>3</v>
      </c>
      <c r="D68" s="20">
        <v>4</v>
      </c>
      <c r="E68" s="20">
        <v>3</v>
      </c>
      <c r="F68" s="21">
        <f t="shared" si="4"/>
        <v>0.5</v>
      </c>
      <c r="G68" s="21">
        <f t="shared" si="5"/>
        <v>1</v>
      </c>
    </row>
    <row r="69" spans="1:7" x14ac:dyDescent="0.25">
      <c r="A69" s="22" t="s">
        <v>121</v>
      </c>
      <c r="B69" s="23">
        <v>8</v>
      </c>
      <c r="C69" s="23">
        <v>4</v>
      </c>
      <c r="D69" s="23">
        <v>8</v>
      </c>
      <c r="E69" s="23">
        <v>4</v>
      </c>
      <c r="F69" s="24">
        <f t="shared" si="4"/>
        <v>1</v>
      </c>
      <c r="G69" s="24">
        <f t="shared" si="5"/>
        <v>1</v>
      </c>
    </row>
    <row r="70" spans="1:7" x14ac:dyDescent="0.25">
      <c r="A70" s="19" t="s">
        <v>122</v>
      </c>
      <c r="B70" s="20">
        <v>8</v>
      </c>
      <c r="C70" s="20">
        <v>3</v>
      </c>
      <c r="D70" s="20">
        <v>8</v>
      </c>
      <c r="E70" s="20">
        <v>3</v>
      </c>
      <c r="F70" s="21">
        <f t="shared" si="4"/>
        <v>1</v>
      </c>
      <c r="G70" s="21">
        <f t="shared" si="5"/>
        <v>1</v>
      </c>
    </row>
    <row r="71" spans="1:7" x14ac:dyDescent="0.25">
      <c r="A71" s="22" t="s">
        <v>123</v>
      </c>
      <c r="B71" s="23">
        <v>8</v>
      </c>
      <c r="C71" s="23">
        <v>0</v>
      </c>
      <c r="D71" s="23">
        <v>0</v>
      </c>
      <c r="E71" s="23">
        <v>0</v>
      </c>
      <c r="F71" s="24">
        <f t="shared" si="4"/>
        <v>0</v>
      </c>
      <c r="G71" s="24" t="str">
        <f t="shared" si="5"/>
        <v>-</v>
      </c>
    </row>
    <row r="72" spans="1:7" x14ac:dyDescent="0.25">
      <c r="A72" s="19" t="s">
        <v>124</v>
      </c>
      <c r="B72" s="20">
        <v>7</v>
      </c>
      <c r="C72" s="20">
        <v>1</v>
      </c>
      <c r="D72" s="20">
        <v>6</v>
      </c>
      <c r="E72" s="20">
        <v>1</v>
      </c>
      <c r="F72" s="21">
        <f t="shared" si="4"/>
        <v>0.8571428571428571</v>
      </c>
      <c r="G72" s="21">
        <f t="shared" si="5"/>
        <v>1</v>
      </c>
    </row>
    <row r="73" spans="1:7" x14ac:dyDescent="0.25">
      <c r="A73" s="22" t="s">
        <v>125</v>
      </c>
      <c r="B73" s="23">
        <v>5</v>
      </c>
      <c r="C73" s="23">
        <v>3</v>
      </c>
      <c r="D73" s="23">
        <v>4</v>
      </c>
      <c r="E73" s="23">
        <v>2</v>
      </c>
      <c r="F73" s="24">
        <f t="shared" si="4"/>
        <v>0.8</v>
      </c>
      <c r="G73" s="24">
        <f t="shared" si="5"/>
        <v>0.66666666666666663</v>
      </c>
    </row>
    <row r="74" spans="1:7" x14ac:dyDescent="0.25">
      <c r="A74" s="19" t="s">
        <v>126</v>
      </c>
      <c r="B74" s="20">
        <v>4</v>
      </c>
      <c r="C74" s="20">
        <v>1</v>
      </c>
      <c r="D74" s="20">
        <v>4</v>
      </c>
      <c r="E74" s="20">
        <v>1</v>
      </c>
      <c r="F74" s="21">
        <f t="shared" si="4"/>
        <v>1</v>
      </c>
      <c r="G74" s="21">
        <f t="shared" si="5"/>
        <v>1</v>
      </c>
    </row>
    <row r="75" spans="1:7" x14ac:dyDescent="0.25">
      <c r="A75" s="22" t="s">
        <v>127</v>
      </c>
      <c r="B75" s="23">
        <v>3</v>
      </c>
      <c r="C75" s="23">
        <v>2</v>
      </c>
      <c r="D75" s="23">
        <v>3</v>
      </c>
      <c r="E75" s="23">
        <v>2</v>
      </c>
      <c r="F75" s="24">
        <f t="shared" si="4"/>
        <v>1</v>
      </c>
      <c r="G75" s="24">
        <f t="shared" si="5"/>
        <v>1</v>
      </c>
    </row>
    <row r="76" spans="1:7" x14ac:dyDescent="0.25">
      <c r="A76" s="19" t="s">
        <v>128</v>
      </c>
      <c r="B76" s="20">
        <v>3</v>
      </c>
      <c r="C76" s="20">
        <v>0</v>
      </c>
      <c r="D76" s="20">
        <v>2</v>
      </c>
      <c r="E76" s="20">
        <v>0</v>
      </c>
      <c r="F76" s="21">
        <f t="shared" si="4"/>
        <v>0.66666666666666663</v>
      </c>
      <c r="G76" s="21" t="str">
        <f t="shared" si="5"/>
        <v>-</v>
      </c>
    </row>
    <row r="77" spans="1:7" x14ac:dyDescent="0.25">
      <c r="A77" s="22" t="s">
        <v>129</v>
      </c>
      <c r="B77" s="23">
        <v>3</v>
      </c>
      <c r="C77" s="23">
        <v>0</v>
      </c>
      <c r="D77" s="23">
        <v>0</v>
      </c>
      <c r="E77" s="23">
        <v>0</v>
      </c>
      <c r="F77" s="24">
        <f t="shared" si="4"/>
        <v>0</v>
      </c>
      <c r="G77" s="24" t="str">
        <f t="shared" si="5"/>
        <v>-</v>
      </c>
    </row>
    <row r="78" spans="1:7" x14ac:dyDescent="0.25">
      <c r="A78" s="19" t="s">
        <v>130</v>
      </c>
      <c r="B78" s="20">
        <v>3</v>
      </c>
      <c r="C78" s="20">
        <v>0</v>
      </c>
      <c r="D78" s="20">
        <v>3</v>
      </c>
      <c r="E78" s="20">
        <v>0</v>
      </c>
      <c r="F78" s="21">
        <f t="shared" si="4"/>
        <v>1</v>
      </c>
      <c r="G78" s="21" t="str">
        <f t="shared" si="5"/>
        <v>-</v>
      </c>
    </row>
    <row r="79" spans="1:7" x14ac:dyDescent="0.25">
      <c r="A79" s="22" t="s">
        <v>131</v>
      </c>
      <c r="B79" s="23">
        <v>3</v>
      </c>
      <c r="C79" s="23">
        <v>0</v>
      </c>
      <c r="D79" s="23">
        <v>3</v>
      </c>
      <c r="E79" s="23">
        <v>0</v>
      </c>
      <c r="F79" s="24">
        <f t="shared" si="4"/>
        <v>1</v>
      </c>
      <c r="G79" s="24" t="str">
        <f t="shared" si="5"/>
        <v>-</v>
      </c>
    </row>
    <row r="80" spans="1:7" x14ac:dyDescent="0.25">
      <c r="A80" s="19" t="s">
        <v>132</v>
      </c>
      <c r="B80" s="20">
        <v>2</v>
      </c>
      <c r="C80" s="20">
        <v>0</v>
      </c>
      <c r="D80" s="20">
        <v>2</v>
      </c>
      <c r="E80" s="20">
        <v>0</v>
      </c>
      <c r="F80" s="21">
        <f t="shared" si="4"/>
        <v>1</v>
      </c>
      <c r="G80" s="21" t="str">
        <f t="shared" si="5"/>
        <v>-</v>
      </c>
    </row>
    <row r="81" spans="1:7" x14ac:dyDescent="0.25">
      <c r="A81" s="22" t="s">
        <v>133</v>
      </c>
      <c r="B81" s="23">
        <v>2</v>
      </c>
      <c r="C81" s="23">
        <v>1</v>
      </c>
      <c r="D81" s="23">
        <v>2</v>
      </c>
      <c r="E81" s="23">
        <v>1</v>
      </c>
      <c r="F81" s="24">
        <f t="shared" si="4"/>
        <v>1</v>
      </c>
      <c r="G81" s="24">
        <f t="shared" si="5"/>
        <v>1</v>
      </c>
    </row>
    <row r="82" spans="1:7" x14ac:dyDescent="0.25">
      <c r="A82" s="19" t="s">
        <v>134</v>
      </c>
      <c r="B82" s="20">
        <v>1</v>
      </c>
      <c r="C82" s="20">
        <v>1</v>
      </c>
      <c r="D82" s="20">
        <v>0</v>
      </c>
      <c r="E82" s="20">
        <v>0</v>
      </c>
      <c r="F82" s="21">
        <f t="shared" si="4"/>
        <v>0</v>
      </c>
      <c r="G82" s="21">
        <f t="shared" si="5"/>
        <v>0</v>
      </c>
    </row>
    <row r="83" spans="1:7" x14ac:dyDescent="0.25">
      <c r="A83" s="22" t="s">
        <v>135</v>
      </c>
      <c r="B83" s="23">
        <v>1</v>
      </c>
      <c r="C83" s="23">
        <v>0</v>
      </c>
      <c r="D83" s="23">
        <v>1</v>
      </c>
      <c r="E83" s="23">
        <v>0</v>
      </c>
      <c r="F83" s="24">
        <f t="shared" si="4"/>
        <v>1</v>
      </c>
      <c r="G83" s="24" t="str">
        <f t="shared" si="5"/>
        <v>-</v>
      </c>
    </row>
    <row r="84" spans="1:7" x14ac:dyDescent="0.25">
      <c r="A84" s="19" t="s">
        <v>136</v>
      </c>
      <c r="B84" s="20">
        <v>1</v>
      </c>
      <c r="C84" s="20">
        <v>1</v>
      </c>
      <c r="D84" s="20">
        <v>0</v>
      </c>
      <c r="E84" s="20">
        <v>0</v>
      </c>
      <c r="F84" s="21">
        <f t="shared" si="4"/>
        <v>0</v>
      </c>
      <c r="G84" s="21">
        <f t="shared" si="5"/>
        <v>0</v>
      </c>
    </row>
    <row r="85" spans="1:7" x14ac:dyDescent="0.25">
      <c r="A85" s="22" t="s">
        <v>137</v>
      </c>
      <c r="B85" s="23">
        <v>1</v>
      </c>
      <c r="C85" s="23">
        <v>1</v>
      </c>
      <c r="D85" s="23">
        <v>1</v>
      </c>
      <c r="E85" s="23">
        <v>1</v>
      </c>
      <c r="F85" s="24">
        <f t="shared" si="4"/>
        <v>1</v>
      </c>
      <c r="G85" s="24">
        <f t="shared" si="5"/>
        <v>1</v>
      </c>
    </row>
    <row r="86" spans="1:7" x14ac:dyDescent="0.25">
      <c r="A86" s="19" t="s">
        <v>138</v>
      </c>
      <c r="B86" s="20">
        <v>1</v>
      </c>
      <c r="C86" s="20">
        <v>0</v>
      </c>
      <c r="D86" s="20">
        <v>0</v>
      </c>
      <c r="E86" s="20">
        <v>0</v>
      </c>
      <c r="F86" s="21">
        <f t="shared" si="4"/>
        <v>0</v>
      </c>
      <c r="G86" s="21" t="str">
        <f t="shared" si="5"/>
        <v>-</v>
      </c>
    </row>
  </sheetData>
  <autoFilter ref="A1:G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D53"/>
  <sheetViews>
    <sheetView workbookViewId="0">
      <selection activeCell="D2" sqref="D2"/>
    </sheetView>
  </sheetViews>
  <sheetFormatPr defaultRowHeight="15" x14ac:dyDescent="0.25"/>
  <cols>
    <col min="1" max="1" width="8" customWidth="1"/>
    <col min="2" max="2" width="24" customWidth="1"/>
    <col min="3" max="3" width="16" customWidth="1"/>
    <col min="4" max="4" width="20" customWidth="1"/>
  </cols>
  <sheetData>
    <row r="1" spans="1:4" x14ac:dyDescent="0.25">
      <c r="A1" s="18" t="s">
        <v>139</v>
      </c>
      <c r="B1" s="18" t="s">
        <v>140</v>
      </c>
      <c r="C1" s="18" t="s">
        <v>141</v>
      </c>
      <c r="D1" s="18" t="s">
        <v>142</v>
      </c>
    </row>
    <row r="2" spans="1:4" x14ac:dyDescent="0.25">
      <c r="A2" s="25">
        <v>1</v>
      </c>
      <c r="B2" s="19" t="s">
        <v>143</v>
      </c>
      <c r="C2" s="20">
        <v>3289</v>
      </c>
      <c r="D2" s="21">
        <f t="shared" ref="D2:D33" si="0">C2/16783</f>
        <v>0.19597211463981409</v>
      </c>
    </row>
    <row r="3" spans="1:4" x14ac:dyDescent="0.25">
      <c r="A3" s="26">
        <v>2</v>
      </c>
      <c r="B3" s="22" t="s">
        <v>144</v>
      </c>
      <c r="C3" s="23">
        <v>1112</v>
      </c>
      <c r="D3" s="24">
        <f t="shared" si="0"/>
        <v>6.6257522492998863E-2</v>
      </c>
    </row>
    <row r="4" spans="1:4" x14ac:dyDescent="0.25">
      <c r="A4" s="25">
        <v>3</v>
      </c>
      <c r="B4" s="19" t="s">
        <v>145</v>
      </c>
      <c r="C4" s="20">
        <v>1107</v>
      </c>
      <c r="D4" s="21">
        <f t="shared" si="0"/>
        <v>6.5959601978192214E-2</v>
      </c>
    </row>
    <row r="5" spans="1:4" x14ac:dyDescent="0.25">
      <c r="A5" s="26">
        <v>4</v>
      </c>
      <c r="B5" s="22" t="s">
        <v>146</v>
      </c>
      <c r="C5" s="23">
        <v>1067</v>
      </c>
      <c r="D5" s="24">
        <f t="shared" si="0"/>
        <v>6.3576237859739024E-2</v>
      </c>
    </row>
    <row r="6" spans="1:4" x14ac:dyDescent="0.25">
      <c r="A6" s="25">
        <v>5</v>
      </c>
      <c r="B6" s="19" t="s">
        <v>147</v>
      </c>
      <c r="C6" s="20">
        <v>810</v>
      </c>
      <c r="D6" s="21">
        <f t="shared" si="0"/>
        <v>4.8263123398677235E-2</v>
      </c>
    </row>
    <row r="7" spans="1:4" x14ac:dyDescent="0.25">
      <c r="A7" s="26">
        <v>6</v>
      </c>
      <c r="B7" s="22" t="s">
        <v>148</v>
      </c>
      <c r="C7" s="23">
        <v>782</v>
      </c>
      <c r="D7" s="24">
        <f t="shared" si="0"/>
        <v>4.6594768515759992E-2</v>
      </c>
    </row>
    <row r="8" spans="1:4" x14ac:dyDescent="0.25">
      <c r="A8" s="25">
        <v>7</v>
      </c>
      <c r="B8" s="19" t="s">
        <v>149</v>
      </c>
      <c r="C8" s="20">
        <v>768</v>
      </c>
      <c r="D8" s="21">
        <f t="shared" si="0"/>
        <v>4.5760591074301374E-2</v>
      </c>
    </row>
    <row r="9" spans="1:4" x14ac:dyDescent="0.25">
      <c r="A9" s="26">
        <v>8</v>
      </c>
      <c r="B9" s="22" t="s">
        <v>150</v>
      </c>
      <c r="C9" s="23">
        <v>767</v>
      </c>
      <c r="D9" s="24">
        <f t="shared" si="0"/>
        <v>4.5701006971340045E-2</v>
      </c>
    </row>
    <row r="10" spans="1:4" x14ac:dyDescent="0.25">
      <c r="A10" s="25">
        <v>9</v>
      </c>
      <c r="B10" s="19" t="s">
        <v>151</v>
      </c>
      <c r="C10" s="20">
        <v>704</v>
      </c>
      <c r="D10" s="21">
        <f t="shared" si="0"/>
        <v>4.1947208484776261E-2</v>
      </c>
    </row>
    <row r="11" spans="1:4" x14ac:dyDescent="0.25">
      <c r="A11" s="26">
        <v>10</v>
      </c>
      <c r="B11" s="22" t="s">
        <v>152</v>
      </c>
      <c r="C11" s="23">
        <v>629</v>
      </c>
      <c r="D11" s="24">
        <f t="shared" si="0"/>
        <v>3.7478400762676521E-2</v>
      </c>
    </row>
    <row r="12" spans="1:4" x14ac:dyDescent="0.25">
      <c r="A12" s="25">
        <v>11</v>
      </c>
      <c r="B12" s="19" t="s">
        <v>153</v>
      </c>
      <c r="C12" s="20">
        <v>427</v>
      </c>
      <c r="D12" s="21">
        <f t="shared" si="0"/>
        <v>2.5442411964487873E-2</v>
      </c>
    </row>
    <row r="13" spans="1:4" x14ac:dyDescent="0.25">
      <c r="A13" s="26">
        <v>12</v>
      </c>
      <c r="B13" s="22" t="s">
        <v>154</v>
      </c>
      <c r="C13" s="23">
        <v>389</v>
      </c>
      <c r="D13" s="24">
        <f t="shared" si="0"/>
        <v>2.3178216051957339E-2</v>
      </c>
    </row>
    <row r="14" spans="1:4" x14ac:dyDescent="0.25">
      <c r="A14" s="25">
        <v>13</v>
      </c>
      <c r="B14" s="19" t="s">
        <v>155</v>
      </c>
      <c r="C14" s="20">
        <v>382</v>
      </c>
      <c r="D14" s="21">
        <f t="shared" si="0"/>
        <v>2.2761127331228027E-2</v>
      </c>
    </row>
    <row r="15" spans="1:4" x14ac:dyDescent="0.25">
      <c r="A15" s="26">
        <v>14</v>
      </c>
      <c r="B15" s="22" t="s">
        <v>156</v>
      </c>
      <c r="C15" s="23">
        <v>340</v>
      </c>
      <c r="D15" s="24">
        <f t="shared" si="0"/>
        <v>2.0258595006852172E-2</v>
      </c>
    </row>
    <row r="16" spans="1:4" x14ac:dyDescent="0.25">
      <c r="A16" s="25">
        <v>15</v>
      </c>
      <c r="B16" s="19" t="s">
        <v>157</v>
      </c>
      <c r="C16" s="20">
        <v>313</v>
      </c>
      <c r="D16" s="21">
        <f t="shared" si="0"/>
        <v>1.8649824226896265E-2</v>
      </c>
    </row>
    <row r="17" spans="1:4" x14ac:dyDescent="0.25">
      <c r="A17" s="26">
        <v>16</v>
      </c>
      <c r="B17" s="22" t="s">
        <v>158</v>
      </c>
      <c r="C17" s="23">
        <v>296</v>
      </c>
      <c r="D17" s="24">
        <f t="shared" si="0"/>
        <v>1.7636894476553654E-2</v>
      </c>
    </row>
    <row r="18" spans="1:4" x14ac:dyDescent="0.25">
      <c r="A18" s="25">
        <v>17</v>
      </c>
      <c r="B18" s="19" t="s">
        <v>159</v>
      </c>
      <c r="C18" s="20">
        <v>232</v>
      </c>
      <c r="D18" s="21">
        <f t="shared" si="0"/>
        <v>1.3823511887028541E-2</v>
      </c>
    </row>
    <row r="19" spans="1:4" x14ac:dyDescent="0.25">
      <c r="A19" s="26">
        <v>18</v>
      </c>
      <c r="B19" s="22" t="s">
        <v>160</v>
      </c>
      <c r="C19" s="23">
        <v>220</v>
      </c>
      <c r="D19" s="24">
        <f t="shared" si="0"/>
        <v>1.3108502651492581E-2</v>
      </c>
    </row>
    <row r="20" spans="1:4" x14ac:dyDescent="0.25">
      <c r="A20" s="25">
        <v>19</v>
      </c>
      <c r="B20" s="19" t="s">
        <v>161</v>
      </c>
      <c r="C20" s="20">
        <v>216</v>
      </c>
      <c r="D20" s="21">
        <f t="shared" si="0"/>
        <v>1.2870166239647263E-2</v>
      </c>
    </row>
    <row r="21" spans="1:4" x14ac:dyDescent="0.25">
      <c r="A21" s="26">
        <v>20</v>
      </c>
      <c r="B21" s="22" t="s">
        <v>162</v>
      </c>
      <c r="C21" s="23">
        <v>203</v>
      </c>
      <c r="D21" s="24">
        <f t="shared" si="0"/>
        <v>1.2095572901149973E-2</v>
      </c>
    </row>
    <row r="22" spans="1:4" x14ac:dyDescent="0.25">
      <c r="A22" s="25">
        <v>21</v>
      </c>
      <c r="B22" s="19" t="s">
        <v>163</v>
      </c>
      <c r="C22" s="20">
        <v>184</v>
      </c>
      <c r="D22" s="21">
        <f t="shared" si="0"/>
        <v>1.0963474944884704E-2</v>
      </c>
    </row>
    <row r="23" spans="1:4" x14ac:dyDescent="0.25">
      <c r="A23" s="26">
        <v>22</v>
      </c>
      <c r="B23" s="22" t="s">
        <v>164</v>
      </c>
      <c r="C23" s="23">
        <v>177</v>
      </c>
      <c r="D23" s="24">
        <f t="shared" si="0"/>
        <v>1.0546386224155395E-2</v>
      </c>
    </row>
    <row r="24" spans="1:4" x14ac:dyDescent="0.25">
      <c r="A24" s="25">
        <v>23</v>
      </c>
      <c r="B24" s="19" t="s">
        <v>165</v>
      </c>
      <c r="C24" s="20">
        <v>170</v>
      </c>
      <c r="D24" s="21">
        <f t="shared" si="0"/>
        <v>1.0129297503426086E-2</v>
      </c>
    </row>
    <row r="25" spans="1:4" x14ac:dyDescent="0.25">
      <c r="A25" s="26">
        <v>24</v>
      </c>
      <c r="B25" s="22" t="s">
        <v>166</v>
      </c>
      <c r="C25" s="23">
        <v>161</v>
      </c>
      <c r="D25" s="24">
        <f t="shared" si="0"/>
        <v>9.5930405767741169E-3</v>
      </c>
    </row>
    <row r="26" spans="1:4" x14ac:dyDescent="0.25">
      <c r="A26" s="25">
        <v>25</v>
      </c>
      <c r="B26" s="19" t="s">
        <v>167</v>
      </c>
      <c r="C26" s="20">
        <v>160</v>
      </c>
      <c r="D26" s="21">
        <f t="shared" si="0"/>
        <v>9.5334564738127868E-3</v>
      </c>
    </row>
    <row r="27" spans="1:4" x14ac:dyDescent="0.25">
      <c r="A27" s="26">
        <v>26</v>
      </c>
      <c r="B27" s="22" t="s">
        <v>168</v>
      </c>
      <c r="C27" s="23">
        <v>148</v>
      </c>
      <c r="D27" s="24">
        <f t="shared" si="0"/>
        <v>8.8184472382768272E-3</v>
      </c>
    </row>
    <row r="28" spans="1:4" x14ac:dyDescent="0.25">
      <c r="A28" s="25">
        <v>27</v>
      </c>
      <c r="B28" s="19" t="s">
        <v>169</v>
      </c>
      <c r="C28" s="20">
        <v>145</v>
      </c>
      <c r="D28" s="21">
        <f t="shared" si="0"/>
        <v>8.6396949293928386E-3</v>
      </c>
    </row>
    <row r="29" spans="1:4" x14ac:dyDescent="0.25">
      <c r="A29" s="26">
        <v>28</v>
      </c>
      <c r="B29" s="22" t="s">
        <v>170</v>
      </c>
      <c r="C29" s="23">
        <v>142</v>
      </c>
      <c r="D29" s="24">
        <f t="shared" si="0"/>
        <v>8.4609426205088482E-3</v>
      </c>
    </row>
    <row r="30" spans="1:4" x14ac:dyDescent="0.25">
      <c r="A30" s="25">
        <v>29</v>
      </c>
      <c r="B30" s="19" t="s">
        <v>171</v>
      </c>
      <c r="C30" s="20">
        <v>142</v>
      </c>
      <c r="D30" s="21">
        <f t="shared" si="0"/>
        <v>8.4609426205088482E-3</v>
      </c>
    </row>
    <row r="31" spans="1:4" x14ac:dyDescent="0.25">
      <c r="A31" s="26">
        <v>30</v>
      </c>
      <c r="B31" s="22" t="s">
        <v>172</v>
      </c>
      <c r="C31" s="23">
        <v>140</v>
      </c>
      <c r="D31" s="24">
        <f t="shared" si="0"/>
        <v>8.341774414586188E-3</v>
      </c>
    </row>
    <row r="32" spans="1:4" x14ac:dyDescent="0.25">
      <c r="A32" s="25">
        <v>31</v>
      </c>
      <c r="B32" s="19" t="s">
        <v>173</v>
      </c>
      <c r="C32" s="20">
        <v>131</v>
      </c>
      <c r="D32" s="21">
        <f t="shared" si="0"/>
        <v>7.8055174879342187E-3</v>
      </c>
    </row>
    <row r="33" spans="1:4" x14ac:dyDescent="0.25">
      <c r="A33" s="26">
        <v>32</v>
      </c>
      <c r="B33" s="22" t="s">
        <v>174</v>
      </c>
      <c r="C33" s="23">
        <v>128</v>
      </c>
      <c r="D33" s="24">
        <f t="shared" si="0"/>
        <v>7.6267651790502293E-3</v>
      </c>
    </row>
    <row r="34" spans="1:4" x14ac:dyDescent="0.25">
      <c r="A34" s="25">
        <v>33</v>
      </c>
      <c r="B34" s="19" t="s">
        <v>175</v>
      </c>
      <c r="C34" s="20">
        <v>126</v>
      </c>
      <c r="D34" s="21">
        <f t="shared" ref="D34:D65" si="1">C34/16783</f>
        <v>7.5075969731275699E-3</v>
      </c>
    </row>
    <row r="35" spans="1:4" x14ac:dyDescent="0.25">
      <c r="A35" s="26">
        <v>34</v>
      </c>
      <c r="B35" s="22" t="s">
        <v>176</v>
      </c>
      <c r="C35" s="23">
        <v>121</v>
      </c>
      <c r="D35" s="24">
        <f t="shared" si="1"/>
        <v>7.2096764583209202E-3</v>
      </c>
    </row>
    <row r="36" spans="1:4" x14ac:dyDescent="0.25">
      <c r="A36" s="25">
        <v>35</v>
      </c>
      <c r="B36" s="19" t="s">
        <v>177</v>
      </c>
      <c r="C36" s="20">
        <v>114</v>
      </c>
      <c r="D36" s="21">
        <f t="shared" si="1"/>
        <v>6.7925877375916103E-3</v>
      </c>
    </row>
    <row r="37" spans="1:4" x14ac:dyDescent="0.25">
      <c r="A37" s="26">
        <v>36</v>
      </c>
      <c r="B37" s="22" t="s">
        <v>178</v>
      </c>
      <c r="C37" s="23">
        <v>114</v>
      </c>
      <c r="D37" s="24">
        <f t="shared" si="1"/>
        <v>6.7925877375916103E-3</v>
      </c>
    </row>
    <row r="38" spans="1:4" x14ac:dyDescent="0.25">
      <c r="A38" s="25">
        <v>37</v>
      </c>
      <c r="B38" s="19" t="s">
        <v>179</v>
      </c>
      <c r="C38" s="20">
        <v>112</v>
      </c>
      <c r="D38" s="21">
        <f t="shared" si="1"/>
        <v>6.6734195316689509E-3</v>
      </c>
    </row>
    <row r="39" spans="1:4" x14ac:dyDescent="0.25">
      <c r="A39" s="26">
        <v>38</v>
      </c>
      <c r="B39" s="22" t="s">
        <v>180</v>
      </c>
      <c r="C39" s="23">
        <v>109</v>
      </c>
      <c r="D39" s="24">
        <f t="shared" si="1"/>
        <v>6.4946672227849606E-3</v>
      </c>
    </row>
    <row r="40" spans="1:4" x14ac:dyDescent="0.25">
      <c r="A40" s="25">
        <v>39</v>
      </c>
      <c r="B40" s="19" t="s">
        <v>181</v>
      </c>
      <c r="C40" s="20">
        <v>107</v>
      </c>
      <c r="D40" s="21">
        <f t="shared" si="1"/>
        <v>6.3754990168623012E-3</v>
      </c>
    </row>
    <row r="41" spans="1:4" x14ac:dyDescent="0.25">
      <c r="A41" s="26">
        <v>40</v>
      </c>
      <c r="B41" s="22" t="s">
        <v>182</v>
      </c>
      <c r="C41" s="23">
        <v>105</v>
      </c>
      <c r="D41" s="24">
        <f t="shared" si="1"/>
        <v>6.256330810939641E-3</v>
      </c>
    </row>
    <row r="42" spans="1:4" x14ac:dyDescent="0.25">
      <c r="A42" s="25">
        <v>41</v>
      </c>
      <c r="B42" s="19" t="s">
        <v>183</v>
      </c>
      <c r="C42" s="20">
        <v>102</v>
      </c>
      <c r="D42" s="21">
        <f t="shared" si="1"/>
        <v>6.0775785020556515E-3</v>
      </c>
    </row>
    <row r="43" spans="1:4" x14ac:dyDescent="0.25">
      <c r="A43" s="26">
        <v>42</v>
      </c>
      <c r="B43" s="22" t="s">
        <v>184</v>
      </c>
      <c r="C43" s="23">
        <v>98</v>
      </c>
      <c r="D43" s="24">
        <f t="shared" si="1"/>
        <v>5.839242090210332E-3</v>
      </c>
    </row>
    <row r="44" spans="1:4" x14ac:dyDescent="0.25">
      <c r="A44" s="25">
        <v>43</v>
      </c>
      <c r="B44" s="19" t="s">
        <v>185</v>
      </c>
      <c r="C44" s="20">
        <v>98</v>
      </c>
      <c r="D44" s="21">
        <f t="shared" si="1"/>
        <v>5.839242090210332E-3</v>
      </c>
    </row>
    <row r="45" spans="1:4" x14ac:dyDescent="0.25">
      <c r="A45" s="26">
        <v>44</v>
      </c>
      <c r="B45" s="22" t="s">
        <v>186</v>
      </c>
      <c r="C45" s="23">
        <v>90</v>
      </c>
      <c r="D45" s="24">
        <f t="shared" si="1"/>
        <v>5.3625692665196928E-3</v>
      </c>
    </row>
    <row r="46" spans="1:4" x14ac:dyDescent="0.25">
      <c r="A46" s="25">
        <v>45</v>
      </c>
      <c r="B46" s="19" t="s">
        <v>187</v>
      </c>
      <c r="C46" s="20">
        <v>89</v>
      </c>
      <c r="D46" s="21">
        <f t="shared" si="1"/>
        <v>5.3029851635583627E-3</v>
      </c>
    </row>
    <row r="47" spans="1:4" x14ac:dyDescent="0.25">
      <c r="A47" s="26">
        <v>46</v>
      </c>
      <c r="B47" s="22" t="s">
        <v>188</v>
      </c>
      <c r="C47" s="23">
        <v>87</v>
      </c>
      <c r="D47" s="24">
        <f t="shared" si="1"/>
        <v>5.1838169576357025E-3</v>
      </c>
    </row>
    <row r="48" spans="1:4" x14ac:dyDescent="0.25">
      <c r="A48" s="25">
        <v>47</v>
      </c>
      <c r="B48" s="19" t="s">
        <v>189</v>
      </c>
      <c r="C48" s="20">
        <v>85</v>
      </c>
      <c r="D48" s="21">
        <f t="shared" si="1"/>
        <v>5.0646487517130431E-3</v>
      </c>
    </row>
    <row r="49" spans="1:4" x14ac:dyDescent="0.25">
      <c r="A49" s="26">
        <v>48</v>
      </c>
      <c r="B49" s="22" t="s">
        <v>190</v>
      </c>
      <c r="C49" s="23">
        <v>84</v>
      </c>
      <c r="D49" s="24">
        <f t="shared" si="1"/>
        <v>5.005064648751713E-3</v>
      </c>
    </row>
    <row r="50" spans="1:4" x14ac:dyDescent="0.25">
      <c r="A50" s="25">
        <v>49</v>
      </c>
      <c r="B50" s="19" t="s">
        <v>191</v>
      </c>
      <c r="C50" s="20">
        <v>79</v>
      </c>
      <c r="D50" s="21">
        <f t="shared" si="1"/>
        <v>4.7071441339450633E-3</v>
      </c>
    </row>
    <row r="51" spans="1:4" x14ac:dyDescent="0.25">
      <c r="A51" s="26">
        <v>50</v>
      </c>
      <c r="B51" s="22" t="s">
        <v>192</v>
      </c>
      <c r="C51" s="23">
        <v>75</v>
      </c>
      <c r="D51" s="24">
        <f t="shared" si="1"/>
        <v>4.4688077220997437E-3</v>
      </c>
    </row>
    <row r="53" spans="1:4" x14ac:dyDescent="0.25">
      <c r="A53" s="27" t="s">
        <v>193</v>
      </c>
      <c r="B53" s="28" t="s">
        <v>194</v>
      </c>
    </row>
  </sheetData>
  <autoFilter ref="A1:D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D23"/>
  <sheetViews>
    <sheetView workbookViewId="0">
      <selection activeCell="F13" sqref="F13"/>
    </sheetView>
  </sheetViews>
  <sheetFormatPr defaultRowHeight="15" x14ac:dyDescent="0.25"/>
  <cols>
    <col min="1" max="1" width="30" customWidth="1"/>
    <col min="2" max="2" width="28" customWidth="1"/>
    <col min="3" max="3" width="20" customWidth="1"/>
    <col min="4" max="4" width="14" customWidth="1"/>
  </cols>
  <sheetData>
    <row r="1" spans="1:4" x14ac:dyDescent="0.25">
      <c r="A1" s="18" t="s">
        <v>195</v>
      </c>
      <c r="B1" s="18" t="s">
        <v>196</v>
      </c>
      <c r="C1" s="18" t="s">
        <v>197</v>
      </c>
      <c r="D1" s="18" t="s">
        <v>198</v>
      </c>
    </row>
    <row r="2" spans="1:4" x14ac:dyDescent="0.25">
      <c r="A2" s="19" t="s">
        <v>199</v>
      </c>
      <c r="B2" s="29">
        <v>1374</v>
      </c>
      <c r="C2" s="29">
        <v>1374</v>
      </c>
      <c r="D2" s="46">
        <v>3.7999999999999999E-2</v>
      </c>
    </row>
    <row r="3" spans="1:4" x14ac:dyDescent="0.25">
      <c r="A3" s="22" t="s">
        <v>200</v>
      </c>
      <c r="B3" s="30">
        <v>934</v>
      </c>
      <c r="C3" s="30">
        <v>934</v>
      </c>
      <c r="D3" s="26" t="s">
        <v>201</v>
      </c>
    </row>
    <row r="4" spans="1:4" x14ac:dyDescent="0.25">
      <c r="A4" s="19" t="s">
        <v>202</v>
      </c>
      <c r="B4" s="29">
        <v>407</v>
      </c>
      <c r="C4" s="29">
        <v>407</v>
      </c>
      <c r="D4" s="25" t="s">
        <v>203</v>
      </c>
    </row>
    <row r="5" spans="1:4" x14ac:dyDescent="0.25">
      <c r="A5" s="22" t="s">
        <v>204</v>
      </c>
      <c r="B5" s="30">
        <v>379</v>
      </c>
      <c r="C5" s="30">
        <v>379</v>
      </c>
      <c r="D5" s="26" t="s">
        <v>203</v>
      </c>
    </row>
    <row r="6" spans="1:4" x14ac:dyDescent="0.25">
      <c r="A6" s="19" t="s">
        <v>205</v>
      </c>
      <c r="B6" s="29">
        <v>377</v>
      </c>
      <c r="C6" s="29">
        <v>377</v>
      </c>
      <c r="D6" s="25" t="s">
        <v>203</v>
      </c>
    </row>
    <row r="7" spans="1:4" x14ac:dyDescent="0.25">
      <c r="A7" s="22" t="s">
        <v>206</v>
      </c>
      <c r="B7" s="30">
        <v>221</v>
      </c>
      <c r="C7" s="30">
        <v>221</v>
      </c>
      <c r="D7" s="26" t="s">
        <v>207</v>
      </c>
    </row>
    <row r="8" spans="1:4" x14ac:dyDescent="0.25">
      <c r="A8" s="19" t="s">
        <v>208</v>
      </c>
      <c r="B8" s="29">
        <v>207</v>
      </c>
      <c r="C8" s="29">
        <v>207</v>
      </c>
      <c r="D8" s="25" t="s">
        <v>207</v>
      </c>
    </row>
    <row r="9" spans="1:4" x14ac:dyDescent="0.25">
      <c r="A9" s="22" t="s">
        <v>209</v>
      </c>
      <c r="B9" s="30">
        <v>145</v>
      </c>
      <c r="C9" s="30">
        <v>145</v>
      </c>
      <c r="D9" s="26" t="s">
        <v>210</v>
      </c>
    </row>
    <row r="11" spans="1:4" x14ac:dyDescent="0.25">
      <c r="A11" s="44" t="s">
        <v>211</v>
      </c>
      <c r="B11" s="42"/>
      <c r="C11" s="42"/>
      <c r="D11" s="42"/>
    </row>
    <row r="12" spans="1:4" x14ac:dyDescent="0.25">
      <c r="A12" s="43" t="s">
        <v>212</v>
      </c>
      <c r="B12" s="42"/>
      <c r="C12" s="42"/>
      <c r="D12" s="42"/>
    </row>
    <row r="13" spans="1:4" x14ac:dyDescent="0.25">
      <c r="A13" s="43" t="s">
        <v>213</v>
      </c>
      <c r="B13" s="42"/>
      <c r="C13" s="42"/>
      <c r="D13" s="42"/>
    </row>
    <row r="14" spans="1:4" x14ac:dyDescent="0.25">
      <c r="A14" s="43" t="s">
        <v>214</v>
      </c>
      <c r="B14" s="42"/>
      <c r="C14" s="42"/>
      <c r="D14" s="42"/>
    </row>
    <row r="15" spans="1:4" x14ac:dyDescent="0.25">
      <c r="A15" s="43" t="s">
        <v>215</v>
      </c>
      <c r="B15" s="42"/>
      <c r="C15" s="42"/>
      <c r="D15" s="42"/>
    </row>
    <row r="16" spans="1:4" x14ac:dyDescent="0.25">
      <c r="A16" s="43" t="s">
        <v>216</v>
      </c>
      <c r="B16" s="42"/>
      <c r="C16" s="42"/>
      <c r="D16" s="42"/>
    </row>
    <row r="17" spans="1:4" x14ac:dyDescent="0.25">
      <c r="A17" s="43"/>
      <c r="B17" s="42"/>
      <c r="C17" s="42"/>
      <c r="D17" s="42"/>
    </row>
    <row r="18" spans="1:4" x14ac:dyDescent="0.25">
      <c r="A18" s="44" t="s">
        <v>217</v>
      </c>
      <c r="B18" s="42"/>
      <c r="C18" s="42"/>
      <c r="D18" s="42"/>
    </row>
    <row r="19" spans="1:4" x14ac:dyDescent="0.25">
      <c r="A19" s="43" t="s">
        <v>218</v>
      </c>
      <c r="B19" s="42"/>
      <c r="C19" s="42"/>
      <c r="D19" s="42"/>
    </row>
    <row r="20" spans="1:4" x14ac:dyDescent="0.25">
      <c r="A20" s="43" t="s">
        <v>219</v>
      </c>
      <c r="B20" s="42"/>
      <c r="C20" s="42"/>
      <c r="D20" s="42"/>
    </row>
    <row r="21" spans="1:4" x14ac:dyDescent="0.25">
      <c r="A21" s="43" t="s">
        <v>220</v>
      </c>
      <c r="B21" s="42"/>
      <c r="C21" s="42"/>
      <c r="D21" s="42"/>
    </row>
    <row r="22" spans="1:4" x14ac:dyDescent="0.25">
      <c r="A22" s="43" t="s">
        <v>221</v>
      </c>
      <c r="B22" s="42"/>
      <c r="C22" s="42"/>
      <c r="D22" s="42"/>
    </row>
    <row r="23" spans="1:4" x14ac:dyDescent="0.25">
      <c r="A23" s="43" t="s">
        <v>222</v>
      </c>
      <c r="B23" s="42"/>
      <c r="C23" s="42"/>
      <c r="D23" s="42"/>
    </row>
  </sheetData>
  <mergeCells count="13">
    <mergeCell ref="A11:D11"/>
    <mergeCell ref="A19:D19"/>
    <mergeCell ref="A13:D13"/>
    <mergeCell ref="A14:D14"/>
    <mergeCell ref="A17:D17"/>
    <mergeCell ref="A18:D18"/>
    <mergeCell ref="A23:D23"/>
    <mergeCell ref="A22:D22"/>
    <mergeCell ref="A12:D12"/>
    <mergeCell ref="A20:D20"/>
    <mergeCell ref="A21:D21"/>
    <mergeCell ref="A15:D15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15"/>
  <sheetViews>
    <sheetView workbookViewId="0"/>
  </sheetViews>
  <sheetFormatPr defaultRowHeight="15" x14ac:dyDescent="0.25"/>
  <cols>
    <col min="1" max="1" width="10" customWidth="1"/>
    <col min="2" max="2" width="60" customWidth="1"/>
    <col min="3" max="3" width="14" customWidth="1"/>
    <col min="4" max="4" width="28" customWidth="1"/>
    <col min="5" max="5" width="20" customWidth="1"/>
  </cols>
  <sheetData>
    <row r="1" spans="1:5" x14ac:dyDescent="0.25">
      <c r="A1" s="18" t="s">
        <v>223</v>
      </c>
      <c r="B1" s="18" t="s">
        <v>224</v>
      </c>
      <c r="C1" s="18" t="s">
        <v>225</v>
      </c>
      <c r="D1" s="18" t="s">
        <v>226</v>
      </c>
      <c r="E1" s="18" t="s">
        <v>227</v>
      </c>
    </row>
    <row r="2" spans="1:5" ht="50.1" customHeight="1" x14ac:dyDescent="0.25">
      <c r="A2" s="25" t="s">
        <v>228</v>
      </c>
      <c r="B2" s="31" t="s">
        <v>229</v>
      </c>
      <c r="C2" s="25" t="s">
        <v>230</v>
      </c>
      <c r="D2" s="31" t="s">
        <v>231</v>
      </c>
      <c r="E2" s="25" t="s">
        <v>232</v>
      </c>
    </row>
    <row r="3" spans="1:5" ht="50.1" customHeight="1" x14ac:dyDescent="0.25">
      <c r="A3" s="26" t="s">
        <v>233</v>
      </c>
      <c r="B3" s="32" t="s">
        <v>234</v>
      </c>
      <c r="C3" s="26" t="s">
        <v>230</v>
      </c>
      <c r="D3" s="32" t="s">
        <v>235</v>
      </c>
      <c r="E3" s="26" t="s">
        <v>236</v>
      </c>
    </row>
    <row r="4" spans="1:5" ht="50.1" customHeight="1" x14ac:dyDescent="0.25">
      <c r="A4" s="25" t="s">
        <v>237</v>
      </c>
      <c r="B4" s="31" t="s">
        <v>238</v>
      </c>
      <c r="C4" s="25" t="s">
        <v>239</v>
      </c>
      <c r="D4" s="31" t="s">
        <v>240</v>
      </c>
      <c r="E4" s="25" t="s">
        <v>232</v>
      </c>
    </row>
    <row r="5" spans="1:5" ht="50.1" customHeight="1" x14ac:dyDescent="0.25">
      <c r="A5" s="26" t="s">
        <v>241</v>
      </c>
      <c r="B5" s="32" t="s">
        <v>242</v>
      </c>
      <c r="C5" s="26" t="s">
        <v>243</v>
      </c>
      <c r="D5" s="32" t="s">
        <v>244</v>
      </c>
      <c r="E5" s="26" t="s">
        <v>232</v>
      </c>
    </row>
    <row r="6" spans="1:5" ht="50.1" customHeight="1" x14ac:dyDescent="0.25">
      <c r="A6" s="25" t="s">
        <v>245</v>
      </c>
      <c r="B6" s="31" t="s">
        <v>246</v>
      </c>
      <c r="C6" s="25" t="s">
        <v>247</v>
      </c>
      <c r="D6" s="31" t="s">
        <v>248</v>
      </c>
      <c r="E6" s="25" t="s">
        <v>249</v>
      </c>
    </row>
    <row r="7" spans="1:5" ht="50.1" customHeight="1" x14ac:dyDescent="0.25">
      <c r="A7" s="26" t="s">
        <v>250</v>
      </c>
      <c r="B7" s="32" t="s">
        <v>251</v>
      </c>
      <c r="C7" s="26" t="s">
        <v>252</v>
      </c>
      <c r="D7" s="32" t="s">
        <v>253</v>
      </c>
      <c r="E7" s="26" t="s">
        <v>249</v>
      </c>
    </row>
    <row r="8" spans="1:5" ht="50.1" customHeight="1" x14ac:dyDescent="0.25">
      <c r="A8" s="25" t="s">
        <v>254</v>
      </c>
      <c r="B8" s="31" t="s">
        <v>255</v>
      </c>
      <c r="C8" s="25" t="s">
        <v>239</v>
      </c>
      <c r="D8" s="31" t="s">
        <v>256</v>
      </c>
      <c r="E8" s="25" t="s">
        <v>232</v>
      </c>
    </row>
    <row r="10" spans="1:5" x14ac:dyDescent="0.25">
      <c r="A10" s="2"/>
    </row>
    <row r="11" spans="1:5" x14ac:dyDescent="0.25">
      <c r="A11" s="28"/>
    </row>
    <row r="12" spans="1:5" x14ac:dyDescent="0.25">
      <c r="A12" s="28"/>
    </row>
    <row r="13" spans="1:5" x14ac:dyDescent="0.25">
      <c r="A13" s="28"/>
    </row>
    <row r="14" spans="1:5" x14ac:dyDescent="0.25">
      <c r="A14" s="28"/>
    </row>
    <row r="15" spans="1:5" x14ac:dyDescent="0.25">
      <c r="A15" s="2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085"/>
  </sheetPr>
  <dimension ref="A1:D58"/>
  <sheetViews>
    <sheetView topLeftCell="A39" workbookViewId="0">
      <selection activeCell="B46" sqref="B46:C46"/>
    </sheetView>
  </sheetViews>
  <sheetFormatPr defaultRowHeight="15" x14ac:dyDescent="0.25"/>
  <cols>
    <col min="1" max="1" width="32" customWidth="1"/>
    <col min="2" max="2" width="14" customWidth="1"/>
    <col min="3" max="3" width="34" customWidth="1"/>
    <col min="4" max="4" width="14" customWidth="1"/>
  </cols>
  <sheetData>
    <row r="1" spans="1:4" ht="18" x14ac:dyDescent="0.25">
      <c r="A1" s="45" t="s">
        <v>257</v>
      </c>
      <c r="B1" s="42"/>
      <c r="C1" s="42"/>
      <c r="D1" s="42"/>
    </row>
    <row r="3" spans="1:4" x14ac:dyDescent="0.25">
      <c r="A3" s="2" t="s">
        <v>258</v>
      </c>
      <c r="B3" s="3"/>
      <c r="C3" s="3"/>
    </row>
    <row r="4" spans="1:4" x14ac:dyDescent="0.25">
      <c r="A4" s="15" t="s">
        <v>259</v>
      </c>
      <c r="B4" s="17">
        <v>9902</v>
      </c>
      <c r="C4" s="6"/>
    </row>
    <row r="5" spans="1:4" x14ac:dyDescent="0.25">
      <c r="A5" s="15" t="s">
        <v>260</v>
      </c>
      <c r="B5" s="17">
        <v>3129</v>
      </c>
      <c r="C5" s="6"/>
    </row>
    <row r="6" spans="1:4" x14ac:dyDescent="0.25">
      <c r="A6" s="15" t="s">
        <v>28</v>
      </c>
      <c r="B6" s="17">
        <v>7097</v>
      </c>
      <c r="C6" s="15" t="s">
        <v>29</v>
      </c>
    </row>
    <row r="7" spans="1:4" x14ac:dyDescent="0.25">
      <c r="A7" s="15" t="s">
        <v>30</v>
      </c>
      <c r="B7" s="17">
        <v>2805</v>
      </c>
      <c r="C7" s="15" t="s">
        <v>31</v>
      </c>
    </row>
    <row r="8" spans="1:4" x14ac:dyDescent="0.25">
      <c r="A8" s="15" t="s">
        <v>32</v>
      </c>
      <c r="B8" s="17">
        <v>479</v>
      </c>
      <c r="C8" s="6"/>
    </row>
    <row r="11" spans="1:4" x14ac:dyDescent="0.25">
      <c r="A11" s="33" t="s">
        <v>261</v>
      </c>
      <c r="B11" s="33" t="s">
        <v>262</v>
      </c>
      <c r="C11" s="33" t="s">
        <v>263</v>
      </c>
    </row>
    <row r="12" spans="1:4" x14ac:dyDescent="0.25">
      <c r="A12" s="19" t="s">
        <v>264</v>
      </c>
      <c r="B12" s="20">
        <v>5124</v>
      </c>
      <c r="C12" s="25" t="s">
        <v>265</v>
      </c>
    </row>
    <row r="13" spans="1:4" x14ac:dyDescent="0.25">
      <c r="A13" s="22" t="s">
        <v>266</v>
      </c>
      <c r="B13" s="23">
        <v>5123</v>
      </c>
      <c r="C13" s="26" t="s">
        <v>265</v>
      </c>
    </row>
    <row r="14" spans="1:4" x14ac:dyDescent="0.25">
      <c r="A14" s="19" t="s">
        <v>267</v>
      </c>
      <c r="B14" s="20">
        <v>4955</v>
      </c>
      <c r="C14" s="25" t="s">
        <v>265</v>
      </c>
    </row>
    <row r="15" spans="1:4" x14ac:dyDescent="0.25">
      <c r="A15" s="22" t="s">
        <v>268</v>
      </c>
      <c r="B15" s="23">
        <v>4272</v>
      </c>
      <c r="C15" s="26" t="s">
        <v>265</v>
      </c>
    </row>
    <row r="16" spans="1:4" x14ac:dyDescent="0.25">
      <c r="A16" s="19" t="s">
        <v>269</v>
      </c>
      <c r="B16" s="20">
        <v>1537</v>
      </c>
      <c r="C16" s="25" t="s">
        <v>270</v>
      </c>
    </row>
    <row r="17" spans="1:3" x14ac:dyDescent="0.25">
      <c r="A17" s="22" t="s">
        <v>271</v>
      </c>
      <c r="B17" s="23">
        <v>1345</v>
      </c>
      <c r="C17" s="26" t="s">
        <v>270</v>
      </c>
    </row>
    <row r="18" spans="1:3" x14ac:dyDescent="0.25">
      <c r="A18" s="19" t="s">
        <v>272</v>
      </c>
      <c r="B18" s="20">
        <v>1281</v>
      </c>
      <c r="C18" s="25" t="s">
        <v>270</v>
      </c>
    </row>
    <row r="19" spans="1:3" x14ac:dyDescent="0.25">
      <c r="A19" s="22" t="s">
        <v>273</v>
      </c>
      <c r="B19" s="23">
        <v>1084</v>
      </c>
      <c r="C19" s="26" t="s">
        <v>270</v>
      </c>
    </row>
    <row r="20" spans="1:3" x14ac:dyDescent="0.25">
      <c r="A20" s="19" t="s">
        <v>274</v>
      </c>
      <c r="B20" s="20">
        <v>1059</v>
      </c>
      <c r="C20" s="25" t="s">
        <v>270</v>
      </c>
    </row>
    <row r="21" spans="1:3" x14ac:dyDescent="0.25">
      <c r="A21" s="22" t="s">
        <v>275</v>
      </c>
      <c r="B21" s="23">
        <v>770</v>
      </c>
      <c r="C21" s="26" t="s">
        <v>270</v>
      </c>
    </row>
    <row r="22" spans="1:3" x14ac:dyDescent="0.25">
      <c r="A22" s="19" t="s">
        <v>276</v>
      </c>
      <c r="B22" s="20">
        <v>701</v>
      </c>
      <c r="C22" s="25" t="s">
        <v>265</v>
      </c>
    </row>
    <row r="23" spans="1:3" x14ac:dyDescent="0.25">
      <c r="A23" s="22" t="s">
        <v>277</v>
      </c>
      <c r="B23" s="23">
        <v>635</v>
      </c>
      <c r="C23" s="26" t="s">
        <v>265</v>
      </c>
    </row>
    <row r="24" spans="1:3" x14ac:dyDescent="0.25">
      <c r="A24" s="19" t="s">
        <v>278</v>
      </c>
      <c r="B24" s="20">
        <v>524</v>
      </c>
      <c r="C24" s="25" t="s">
        <v>270</v>
      </c>
    </row>
    <row r="25" spans="1:3" x14ac:dyDescent="0.25">
      <c r="A25" s="22" t="s">
        <v>279</v>
      </c>
      <c r="B25" s="23">
        <v>437</v>
      </c>
      <c r="C25" s="26" t="s">
        <v>280</v>
      </c>
    </row>
    <row r="26" spans="1:3" x14ac:dyDescent="0.25">
      <c r="A26" s="19" t="s">
        <v>281</v>
      </c>
      <c r="B26" s="20">
        <v>373</v>
      </c>
      <c r="C26" s="25" t="s">
        <v>280</v>
      </c>
    </row>
    <row r="27" spans="1:3" x14ac:dyDescent="0.25">
      <c r="A27" s="22" t="s">
        <v>282</v>
      </c>
      <c r="B27" s="23">
        <v>332</v>
      </c>
      <c r="C27" s="26" t="s">
        <v>270</v>
      </c>
    </row>
    <row r="28" spans="1:3" x14ac:dyDescent="0.25">
      <c r="A28" s="19" t="s">
        <v>283</v>
      </c>
      <c r="B28" s="20">
        <v>328</v>
      </c>
      <c r="C28" s="25" t="s">
        <v>270</v>
      </c>
    </row>
    <row r="29" spans="1:3" x14ac:dyDescent="0.25">
      <c r="A29" s="22" t="s">
        <v>284</v>
      </c>
      <c r="B29" s="23">
        <v>324</v>
      </c>
      <c r="C29" s="26" t="s">
        <v>270</v>
      </c>
    </row>
    <row r="30" spans="1:3" x14ac:dyDescent="0.25">
      <c r="A30" s="19" t="s">
        <v>285</v>
      </c>
      <c r="B30" s="20">
        <v>276</v>
      </c>
      <c r="C30" s="25" t="s">
        <v>270</v>
      </c>
    </row>
    <row r="31" spans="1:3" x14ac:dyDescent="0.25">
      <c r="A31" s="22" t="s">
        <v>286</v>
      </c>
      <c r="B31" s="23">
        <v>268</v>
      </c>
      <c r="C31" s="26" t="s">
        <v>287</v>
      </c>
    </row>
    <row r="32" spans="1:3" x14ac:dyDescent="0.25">
      <c r="A32" s="19" t="s">
        <v>288</v>
      </c>
      <c r="B32" s="20">
        <v>202</v>
      </c>
      <c r="C32" s="25" t="s">
        <v>289</v>
      </c>
    </row>
    <row r="33" spans="1:3" x14ac:dyDescent="0.25">
      <c r="A33" s="22" t="s">
        <v>290</v>
      </c>
      <c r="B33" s="23">
        <v>202</v>
      </c>
      <c r="C33" s="26" t="s">
        <v>291</v>
      </c>
    </row>
    <row r="34" spans="1:3" x14ac:dyDescent="0.25">
      <c r="A34" s="19" t="s">
        <v>292</v>
      </c>
      <c r="B34" s="20">
        <v>202</v>
      </c>
      <c r="C34" s="25" t="s">
        <v>293</v>
      </c>
    </row>
    <row r="35" spans="1:3" x14ac:dyDescent="0.25">
      <c r="A35" s="22" t="s">
        <v>294</v>
      </c>
      <c r="B35" s="23">
        <v>197</v>
      </c>
      <c r="C35" s="26" t="s">
        <v>291</v>
      </c>
    </row>
    <row r="36" spans="1:3" x14ac:dyDescent="0.25">
      <c r="A36" s="19" t="s">
        <v>295</v>
      </c>
      <c r="B36" s="20">
        <v>197</v>
      </c>
      <c r="C36" s="25" t="s">
        <v>291</v>
      </c>
    </row>
    <row r="38" spans="1:3" x14ac:dyDescent="0.25">
      <c r="A38" s="34" t="s">
        <v>296</v>
      </c>
    </row>
    <row r="39" spans="1:3" x14ac:dyDescent="0.25">
      <c r="A39" s="27" t="s">
        <v>297</v>
      </c>
      <c r="B39" s="43" t="s">
        <v>298</v>
      </c>
      <c r="C39" s="42"/>
    </row>
    <row r="40" spans="1:3" x14ac:dyDescent="0.25">
      <c r="A40" s="27" t="s">
        <v>299</v>
      </c>
      <c r="B40" s="43" t="s">
        <v>300</v>
      </c>
      <c r="C40" s="42"/>
    </row>
    <row r="41" spans="1:3" x14ac:dyDescent="0.25">
      <c r="A41" s="27" t="s">
        <v>301</v>
      </c>
      <c r="B41" s="43" t="s">
        <v>302</v>
      </c>
      <c r="C41" s="42"/>
    </row>
    <row r="42" spans="1:3" x14ac:dyDescent="0.25">
      <c r="A42" s="27" t="s">
        <v>303</v>
      </c>
      <c r="B42" s="43" t="s">
        <v>304</v>
      </c>
      <c r="C42" s="42"/>
    </row>
    <row r="43" spans="1:3" x14ac:dyDescent="0.25">
      <c r="A43" s="27" t="s">
        <v>305</v>
      </c>
      <c r="B43" s="43" t="s">
        <v>306</v>
      </c>
      <c r="C43" s="42"/>
    </row>
    <row r="44" spans="1:3" x14ac:dyDescent="0.25">
      <c r="A44" s="27" t="s">
        <v>307</v>
      </c>
      <c r="B44" s="43" t="s">
        <v>308</v>
      </c>
      <c r="C44" s="42"/>
    </row>
    <row r="45" spans="1:3" x14ac:dyDescent="0.25">
      <c r="A45" s="27" t="s">
        <v>309</v>
      </c>
      <c r="B45" s="43" t="s">
        <v>310</v>
      </c>
      <c r="C45" s="42"/>
    </row>
    <row r="46" spans="1:3" x14ac:dyDescent="0.25">
      <c r="A46" s="27" t="s">
        <v>311</v>
      </c>
      <c r="B46" s="43" t="s">
        <v>312</v>
      </c>
      <c r="C46" s="42"/>
    </row>
    <row r="48" spans="1:3" x14ac:dyDescent="0.25">
      <c r="A48" s="2" t="s">
        <v>313</v>
      </c>
      <c r="B48" s="3"/>
      <c r="C48" s="3"/>
    </row>
    <row r="49" spans="1:2" x14ac:dyDescent="0.25">
      <c r="A49" s="15" t="s">
        <v>314</v>
      </c>
      <c r="B49" s="17">
        <v>1941</v>
      </c>
    </row>
    <row r="50" spans="1:2" x14ac:dyDescent="0.25">
      <c r="A50" s="15" t="s">
        <v>315</v>
      </c>
      <c r="B50" s="17">
        <v>1221</v>
      </c>
    </row>
    <row r="51" spans="1:2" x14ac:dyDescent="0.25">
      <c r="A51" s="15" t="s">
        <v>60</v>
      </c>
      <c r="B51" s="17">
        <v>895</v>
      </c>
    </row>
    <row r="52" spans="1:2" x14ac:dyDescent="0.25">
      <c r="A52" s="15" t="s">
        <v>316</v>
      </c>
      <c r="B52" s="17">
        <v>600</v>
      </c>
    </row>
    <row r="53" spans="1:2" x14ac:dyDescent="0.25">
      <c r="A53" s="15" t="s">
        <v>66</v>
      </c>
      <c r="B53" s="17">
        <v>449</v>
      </c>
    </row>
    <row r="54" spans="1:2" x14ac:dyDescent="0.25">
      <c r="A54" s="15" t="s">
        <v>69</v>
      </c>
      <c r="B54" s="17">
        <v>447</v>
      </c>
    </row>
    <row r="55" spans="1:2" x14ac:dyDescent="0.25">
      <c r="A55" s="15" t="s">
        <v>317</v>
      </c>
      <c r="B55" s="17">
        <v>431</v>
      </c>
    </row>
    <row r="56" spans="1:2" x14ac:dyDescent="0.25">
      <c r="A56" s="15" t="s">
        <v>67</v>
      </c>
      <c r="B56" s="17">
        <v>401</v>
      </c>
    </row>
    <row r="57" spans="1:2" x14ac:dyDescent="0.25">
      <c r="A57" s="15" t="s">
        <v>73</v>
      </c>
      <c r="B57" s="17">
        <v>296</v>
      </c>
    </row>
    <row r="58" spans="1:2" x14ac:dyDescent="0.25">
      <c r="A58" s="15" t="s">
        <v>74</v>
      </c>
      <c r="B58" s="17">
        <v>223</v>
      </c>
    </row>
  </sheetData>
  <mergeCells count="9">
    <mergeCell ref="B46:C46"/>
    <mergeCell ref="B40:C40"/>
    <mergeCell ref="B41:C41"/>
    <mergeCell ref="B43:C43"/>
    <mergeCell ref="B39:C39"/>
    <mergeCell ref="A1:D1"/>
    <mergeCell ref="B44:C44"/>
    <mergeCell ref="B42:C42"/>
    <mergeCell ref="B45:C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E38"/>
  <sheetViews>
    <sheetView topLeftCell="A15" workbookViewId="0">
      <selection sqref="A1:E1"/>
    </sheetView>
  </sheetViews>
  <sheetFormatPr defaultRowHeight="15" x14ac:dyDescent="0.25"/>
  <cols>
    <col min="1" max="1" width="30" customWidth="1"/>
    <col min="2" max="2" width="12" customWidth="1"/>
    <col min="3" max="3" width="22" customWidth="1"/>
    <col min="4" max="4" width="16" customWidth="1"/>
    <col min="5" max="5" width="18" customWidth="1"/>
  </cols>
  <sheetData>
    <row r="1" spans="1:5" ht="18" x14ac:dyDescent="0.25">
      <c r="A1" s="45" t="s">
        <v>318</v>
      </c>
      <c r="B1" s="42"/>
      <c r="C1" s="42"/>
      <c r="D1" s="42"/>
      <c r="E1" s="42"/>
    </row>
    <row r="3" spans="1:5" x14ac:dyDescent="0.25">
      <c r="A3" s="18" t="s">
        <v>319</v>
      </c>
      <c r="B3" s="18" t="s">
        <v>320</v>
      </c>
      <c r="C3" s="18" t="s">
        <v>321</v>
      </c>
      <c r="D3" s="18" t="s">
        <v>322</v>
      </c>
      <c r="E3" s="18" t="s">
        <v>323</v>
      </c>
    </row>
    <row r="4" spans="1:5" x14ac:dyDescent="0.25">
      <c r="A4" s="19" t="s">
        <v>324</v>
      </c>
      <c r="B4" s="25" t="s">
        <v>325</v>
      </c>
      <c r="C4" s="19" t="s">
        <v>326</v>
      </c>
      <c r="D4" s="19" t="s">
        <v>327</v>
      </c>
      <c r="E4" s="25" t="s">
        <v>328</v>
      </c>
    </row>
    <row r="5" spans="1:5" x14ac:dyDescent="0.25">
      <c r="A5" s="22" t="s">
        <v>324</v>
      </c>
      <c r="B5" s="26" t="s">
        <v>325</v>
      </c>
      <c r="C5" s="22" t="s">
        <v>329</v>
      </c>
      <c r="D5" s="22" t="s">
        <v>327</v>
      </c>
      <c r="E5" s="26" t="s">
        <v>330</v>
      </c>
    </row>
    <row r="6" spans="1:5" x14ac:dyDescent="0.25">
      <c r="A6" s="19" t="s">
        <v>324</v>
      </c>
      <c r="B6" s="25" t="s">
        <v>331</v>
      </c>
      <c r="C6" s="19" t="s">
        <v>332</v>
      </c>
      <c r="D6" s="19" t="s">
        <v>333</v>
      </c>
      <c r="E6" s="25" t="s">
        <v>334</v>
      </c>
    </row>
    <row r="7" spans="1:5" x14ac:dyDescent="0.25">
      <c r="A7" s="22" t="s">
        <v>335</v>
      </c>
      <c r="B7" s="26" t="s">
        <v>325</v>
      </c>
      <c r="C7" s="22" t="s">
        <v>336</v>
      </c>
      <c r="D7" s="22" t="s">
        <v>327</v>
      </c>
      <c r="E7" s="26" t="s">
        <v>337</v>
      </c>
    </row>
    <row r="8" spans="1:5" x14ac:dyDescent="0.25">
      <c r="A8" s="19" t="s">
        <v>335</v>
      </c>
      <c r="B8" s="25" t="s">
        <v>325</v>
      </c>
      <c r="C8" s="19" t="s">
        <v>338</v>
      </c>
      <c r="D8" s="19" t="s">
        <v>327</v>
      </c>
      <c r="E8" s="25" t="s">
        <v>284</v>
      </c>
    </row>
    <row r="9" spans="1:5" x14ac:dyDescent="0.25">
      <c r="A9" s="22" t="s">
        <v>335</v>
      </c>
      <c r="B9" s="26" t="s">
        <v>325</v>
      </c>
      <c r="C9" s="22" t="s">
        <v>339</v>
      </c>
      <c r="D9" s="22" t="s">
        <v>327</v>
      </c>
      <c r="E9" s="26" t="s">
        <v>340</v>
      </c>
    </row>
    <row r="10" spans="1:5" x14ac:dyDescent="0.25">
      <c r="A10" s="19" t="s">
        <v>335</v>
      </c>
      <c r="B10" s="25" t="s">
        <v>331</v>
      </c>
      <c r="C10" s="19" t="s">
        <v>341</v>
      </c>
      <c r="D10" s="19" t="s">
        <v>333</v>
      </c>
      <c r="E10" s="25" t="s">
        <v>342</v>
      </c>
    </row>
    <row r="11" spans="1:5" x14ac:dyDescent="0.25">
      <c r="A11" s="22" t="s">
        <v>335</v>
      </c>
      <c r="B11" s="26" t="s">
        <v>343</v>
      </c>
      <c r="C11" s="22" t="s">
        <v>344</v>
      </c>
      <c r="D11" s="22" t="s">
        <v>345</v>
      </c>
      <c r="E11" s="26" t="s">
        <v>346</v>
      </c>
    </row>
    <row r="12" spans="1:5" x14ac:dyDescent="0.25">
      <c r="A12" s="19" t="s">
        <v>335</v>
      </c>
      <c r="B12" s="25" t="s">
        <v>343</v>
      </c>
      <c r="C12" s="19" t="s">
        <v>347</v>
      </c>
      <c r="D12" s="19" t="s">
        <v>345</v>
      </c>
      <c r="E12" s="25" t="s">
        <v>340</v>
      </c>
    </row>
    <row r="13" spans="1:5" x14ac:dyDescent="0.25">
      <c r="A13" s="35" t="s">
        <v>348</v>
      </c>
      <c r="B13" s="26" t="s">
        <v>325</v>
      </c>
      <c r="C13" s="22" t="s">
        <v>349</v>
      </c>
      <c r="D13" s="22" t="s">
        <v>327</v>
      </c>
      <c r="E13" s="26" t="s">
        <v>340</v>
      </c>
    </row>
    <row r="14" spans="1:5" x14ac:dyDescent="0.25">
      <c r="A14" s="36" t="s">
        <v>348</v>
      </c>
      <c r="B14" s="25" t="s">
        <v>325</v>
      </c>
      <c r="C14" s="19" t="s">
        <v>350</v>
      </c>
      <c r="D14" s="19" t="s">
        <v>327</v>
      </c>
      <c r="E14" s="25" t="s">
        <v>340</v>
      </c>
    </row>
    <row r="15" spans="1:5" x14ac:dyDescent="0.25">
      <c r="A15" s="35" t="s">
        <v>348</v>
      </c>
      <c r="B15" s="26" t="s">
        <v>325</v>
      </c>
      <c r="C15" s="22" t="s">
        <v>351</v>
      </c>
      <c r="D15" s="22" t="s">
        <v>327</v>
      </c>
      <c r="E15" s="26" t="s">
        <v>340</v>
      </c>
    </row>
    <row r="16" spans="1:5" x14ac:dyDescent="0.25">
      <c r="A16" s="36" t="s">
        <v>348</v>
      </c>
      <c r="B16" s="25" t="s">
        <v>331</v>
      </c>
      <c r="C16" s="19" t="s">
        <v>352</v>
      </c>
      <c r="D16" s="19" t="s">
        <v>333</v>
      </c>
      <c r="E16" s="25" t="s">
        <v>340</v>
      </c>
    </row>
    <row r="17" spans="1:5" x14ac:dyDescent="0.25">
      <c r="A17" s="35" t="s">
        <v>348</v>
      </c>
      <c r="B17" s="26" t="s">
        <v>331</v>
      </c>
      <c r="C17" s="22" t="s">
        <v>353</v>
      </c>
      <c r="D17" s="22" t="s">
        <v>333</v>
      </c>
      <c r="E17" s="26" t="s">
        <v>340</v>
      </c>
    </row>
    <row r="18" spans="1:5" x14ac:dyDescent="0.25">
      <c r="A18" s="19" t="s">
        <v>354</v>
      </c>
      <c r="B18" s="25" t="s">
        <v>355</v>
      </c>
      <c r="C18" s="19" t="s">
        <v>356</v>
      </c>
      <c r="D18" s="19" t="s">
        <v>327</v>
      </c>
      <c r="E18" s="25" t="s">
        <v>282</v>
      </c>
    </row>
    <row r="19" spans="1:5" x14ac:dyDescent="0.25">
      <c r="A19" s="22" t="s">
        <v>354</v>
      </c>
      <c r="B19" s="26" t="s">
        <v>357</v>
      </c>
      <c r="C19" s="22" t="s">
        <v>358</v>
      </c>
      <c r="D19" s="22" t="s">
        <v>359</v>
      </c>
      <c r="E19" s="26" t="s">
        <v>340</v>
      </c>
    </row>
    <row r="20" spans="1:5" x14ac:dyDescent="0.25">
      <c r="A20" s="19" t="s">
        <v>354</v>
      </c>
      <c r="B20" s="25" t="s">
        <v>360</v>
      </c>
      <c r="C20" s="19" t="s">
        <v>361</v>
      </c>
      <c r="D20" s="19" t="s">
        <v>362</v>
      </c>
      <c r="E20" s="25" t="s">
        <v>340</v>
      </c>
    </row>
    <row r="21" spans="1:5" x14ac:dyDescent="0.25">
      <c r="A21" s="35" t="s">
        <v>363</v>
      </c>
      <c r="B21" s="26" t="s">
        <v>364</v>
      </c>
      <c r="C21" s="22" t="s">
        <v>365</v>
      </c>
      <c r="D21" s="22" t="s">
        <v>366</v>
      </c>
      <c r="E21" s="26" t="s">
        <v>340</v>
      </c>
    </row>
    <row r="22" spans="1:5" x14ac:dyDescent="0.25">
      <c r="A22" s="36" t="s">
        <v>363</v>
      </c>
      <c r="B22" s="25" t="s">
        <v>364</v>
      </c>
      <c r="C22" s="19" t="s">
        <v>367</v>
      </c>
      <c r="D22" s="19" t="s">
        <v>368</v>
      </c>
      <c r="E22" s="25" t="s">
        <v>340</v>
      </c>
    </row>
    <row r="23" spans="1:5" x14ac:dyDescent="0.25">
      <c r="A23" s="35" t="s">
        <v>363</v>
      </c>
      <c r="B23" s="26" t="s">
        <v>364</v>
      </c>
      <c r="C23" s="22" t="s">
        <v>369</v>
      </c>
      <c r="D23" s="22" t="s">
        <v>368</v>
      </c>
      <c r="E23" s="26" t="s">
        <v>340</v>
      </c>
    </row>
    <row r="24" spans="1:5" x14ac:dyDescent="0.25">
      <c r="A24" s="36" t="s">
        <v>363</v>
      </c>
      <c r="B24" s="25" t="s">
        <v>364</v>
      </c>
      <c r="C24" s="19" t="s">
        <v>370</v>
      </c>
      <c r="D24" s="19" t="s">
        <v>371</v>
      </c>
      <c r="E24" s="25" t="s">
        <v>340</v>
      </c>
    </row>
    <row r="25" spans="1:5" x14ac:dyDescent="0.25">
      <c r="A25" s="35" t="s">
        <v>363</v>
      </c>
      <c r="B25" s="26" t="s">
        <v>364</v>
      </c>
      <c r="C25" s="22" t="s">
        <v>372</v>
      </c>
      <c r="D25" s="22" t="s">
        <v>373</v>
      </c>
      <c r="E25" s="26" t="s">
        <v>284</v>
      </c>
    </row>
    <row r="26" spans="1:5" x14ac:dyDescent="0.25">
      <c r="A26" s="36" t="s">
        <v>363</v>
      </c>
      <c r="B26" s="25" t="s">
        <v>364</v>
      </c>
      <c r="C26" s="19" t="s">
        <v>374</v>
      </c>
      <c r="D26" s="19" t="s">
        <v>375</v>
      </c>
      <c r="E26" s="25" t="s">
        <v>340</v>
      </c>
    </row>
    <row r="27" spans="1:5" x14ac:dyDescent="0.25">
      <c r="A27" s="22" t="s">
        <v>376</v>
      </c>
      <c r="B27" s="26" t="s">
        <v>364</v>
      </c>
      <c r="C27" s="22" t="s">
        <v>377</v>
      </c>
      <c r="D27" s="22" t="s">
        <v>378</v>
      </c>
      <c r="E27" s="26" t="s">
        <v>340</v>
      </c>
    </row>
    <row r="28" spans="1:5" x14ac:dyDescent="0.25">
      <c r="A28" s="19" t="s">
        <v>376</v>
      </c>
      <c r="B28" s="25" t="s">
        <v>364</v>
      </c>
      <c r="C28" s="19" t="s">
        <v>379</v>
      </c>
      <c r="D28" s="19" t="s">
        <v>378</v>
      </c>
      <c r="E28" s="25" t="s">
        <v>340</v>
      </c>
    </row>
    <row r="29" spans="1:5" x14ac:dyDescent="0.25">
      <c r="A29" s="22" t="s">
        <v>376</v>
      </c>
      <c r="B29" s="26" t="s">
        <v>364</v>
      </c>
      <c r="C29" s="22" t="s">
        <v>380</v>
      </c>
      <c r="D29" s="22" t="s">
        <v>378</v>
      </c>
      <c r="E29" s="26" t="s">
        <v>340</v>
      </c>
    </row>
    <row r="32" spans="1:5" x14ac:dyDescent="0.25">
      <c r="A32" s="2" t="s">
        <v>381</v>
      </c>
      <c r="B32" s="3"/>
      <c r="C32" s="3"/>
      <c r="D32" s="3"/>
      <c r="E32" s="3"/>
    </row>
    <row r="33" spans="1:5" x14ac:dyDescent="0.25">
      <c r="A33" s="43" t="s">
        <v>382</v>
      </c>
      <c r="B33" s="42"/>
      <c r="C33" s="42"/>
      <c r="D33" s="42"/>
      <c r="E33" s="42"/>
    </row>
    <row r="34" spans="1:5" x14ac:dyDescent="0.25">
      <c r="A34" s="43" t="s">
        <v>383</v>
      </c>
      <c r="B34" s="42"/>
      <c r="C34" s="42"/>
      <c r="D34" s="42"/>
      <c r="E34" s="42"/>
    </row>
    <row r="35" spans="1:5" x14ac:dyDescent="0.25">
      <c r="A35" s="43" t="s">
        <v>384</v>
      </c>
      <c r="B35" s="42"/>
      <c r="C35" s="42"/>
      <c r="D35" s="42"/>
      <c r="E35" s="42"/>
    </row>
    <row r="36" spans="1:5" x14ac:dyDescent="0.25">
      <c r="A36" s="43" t="s">
        <v>385</v>
      </c>
      <c r="B36" s="42"/>
      <c r="C36" s="42"/>
      <c r="D36" s="42"/>
      <c r="E36" s="42"/>
    </row>
    <row r="37" spans="1:5" x14ac:dyDescent="0.25">
      <c r="A37" s="43" t="s">
        <v>386</v>
      </c>
      <c r="B37" s="42"/>
      <c r="C37" s="42"/>
      <c r="D37" s="42"/>
      <c r="E37" s="42"/>
    </row>
    <row r="38" spans="1:5" x14ac:dyDescent="0.25">
      <c r="A38" s="43" t="s">
        <v>387</v>
      </c>
      <c r="B38" s="42"/>
      <c r="C38" s="42"/>
      <c r="D38" s="42"/>
      <c r="E38" s="42"/>
    </row>
  </sheetData>
  <mergeCells count="7">
    <mergeCell ref="A34:E34"/>
    <mergeCell ref="A35:E35"/>
    <mergeCell ref="A38:E38"/>
    <mergeCell ref="A33:E33"/>
    <mergeCell ref="A1:E1"/>
    <mergeCell ref="A37:E37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8C8D"/>
  </sheetPr>
  <dimension ref="A1:F29"/>
  <sheetViews>
    <sheetView topLeftCell="A4" workbookViewId="0">
      <selection activeCell="L14" sqref="L14"/>
    </sheetView>
  </sheetViews>
  <sheetFormatPr defaultRowHeight="15" x14ac:dyDescent="0.25"/>
  <cols>
    <col min="1" max="1" width="18" customWidth="1"/>
    <col min="2" max="3" width="12" customWidth="1"/>
    <col min="4" max="4" width="14" customWidth="1"/>
    <col min="5" max="5" width="36" customWidth="1"/>
    <col min="6" max="6" width="30" customWidth="1"/>
  </cols>
  <sheetData>
    <row r="1" spans="1:6" ht="18" x14ac:dyDescent="0.25">
      <c r="A1" s="45" t="s">
        <v>388</v>
      </c>
      <c r="B1" s="42"/>
      <c r="C1" s="42"/>
      <c r="D1" s="42"/>
      <c r="E1" s="42"/>
      <c r="F1" s="42"/>
    </row>
    <row r="2" spans="1:6" x14ac:dyDescent="0.25">
      <c r="A2" s="1" t="s">
        <v>389</v>
      </c>
    </row>
    <row r="4" spans="1:6" x14ac:dyDescent="0.25">
      <c r="A4" s="18" t="s">
        <v>390</v>
      </c>
      <c r="B4" s="18" t="s">
        <v>262</v>
      </c>
      <c r="C4" s="18" t="s">
        <v>49</v>
      </c>
      <c r="D4" s="18" t="s">
        <v>391</v>
      </c>
      <c r="E4" s="18" t="s">
        <v>392</v>
      </c>
      <c r="F4" s="18" t="s">
        <v>393</v>
      </c>
    </row>
    <row r="5" spans="1:6" ht="25.5" x14ac:dyDescent="0.25">
      <c r="A5" s="19" t="s">
        <v>394</v>
      </c>
      <c r="B5" s="20">
        <v>16798</v>
      </c>
      <c r="C5" s="20">
        <v>5431</v>
      </c>
      <c r="D5" s="20">
        <v>6052</v>
      </c>
      <c r="E5" s="19" t="s">
        <v>395</v>
      </c>
      <c r="F5" s="37" t="s">
        <v>396</v>
      </c>
    </row>
    <row r="6" spans="1:6" x14ac:dyDescent="0.25">
      <c r="A6" s="22" t="s">
        <v>397</v>
      </c>
      <c r="B6" s="23">
        <v>9902</v>
      </c>
      <c r="C6" s="23">
        <v>3129</v>
      </c>
      <c r="D6" s="23">
        <v>479</v>
      </c>
      <c r="E6" s="22" t="s">
        <v>398</v>
      </c>
      <c r="F6" s="38" t="s">
        <v>399</v>
      </c>
    </row>
    <row r="7" spans="1:6" x14ac:dyDescent="0.25">
      <c r="A7" s="19" t="s">
        <v>400</v>
      </c>
      <c r="B7" s="20">
        <v>214</v>
      </c>
      <c r="C7" s="20">
        <v>105</v>
      </c>
      <c r="D7" s="20">
        <v>646</v>
      </c>
      <c r="E7" s="19" t="s">
        <v>401</v>
      </c>
      <c r="F7" s="31" t="s">
        <v>402</v>
      </c>
    </row>
    <row r="8" spans="1:6" ht="25.5" x14ac:dyDescent="0.25">
      <c r="A8" s="22" t="s">
        <v>403</v>
      </c>
      <c r="B8" s="23">
        <v>27</v>
      </c>
      <c r="C8" s="23">
        <v>24</v>
      </c>
      <c r="D8" s="23">
        <v>51</v>
      </c>
      <c r="E8" s="22" t="s">
        <v>404</v>
      </c>
      <c r="F8" s="32" t="s">
        <v>405</v>
      </c>
    </row>
    <row r="9" spans="1:6" x14ac:dyDescent="0.25">
      <c r="A9" s="19" t="s">
        <v>406</v>
      </c>
      <c r="B9" s="20">
        <v>24</v>
      </c>
      <c r="C9" s="20">
        <v>23</v>
      </c>
      <c r="D9" s="20">
        <v>17</v>
      </c>
      <c r="E9" s="19" t="s">
        <v>407</v>
      </c>
      <c r="F9" s="31" t="s">
        <v>408</v>
      </c>
    </row>
    <row r="10" spans="1:6" ht="25.5" x14ac:dyDescent="0.25">
      <c r="A10" s="22" t="s">
        <v>409</v>
      </c>
      <c r="B10" s="23">
        <v>14</v>
      </c>
      <c r="C10" s="23">
        <v>2</v>
      </c>
      <c r="D10" s="23">
        <v>16</v>
      </c>
      <c r="E10" s="22" t="s">
        <v>410</v>
      </c>
      <c r="F10" s="39" t="s">
        <v>411</v>
      </c>
    </row>
    <row r="11" spans="1:6" x14ac:dyDescent="0.25">
      <c r="A11" s="19" t="s">
        <v>412</v>
      </c>
      <c r="B11" s="20">
        <v>7</v>
      </c>
      <c r="C11" s="20">
        <v>5</v>
      </c>
      <c r="D11" s="20">
        <v>18</v>
      </c>
      <c r="E11" s="19" t="s">
        <v>413</v>
      </c>
      <c r="F11" s="40" t="s">
        <v>414</v>
      </c>
    </row>
    <row r="12" spans="1:6" ht="25.5" x14ac:dyDescent="0.25">
      <c r="A12" s="22" t="s">
        <v>415</v>
      </c>
      <c r="B12" s="23">
        <v>6</v>
      </c>
      <c r="C12" s="23">
        <v>5</v>
      </c>
      <c r="D12" s="23">
        <v>19</v>
      </c>
      <c r="E12" s="22" t="s">
        <v>416</v>
      </c>
      <c r="F12" s="39" t="s">
        <v>417</v>
      </c>
    </row>
    <row r="13" spans="1:6" x14ac:dyDescent="0.25">
      <c r="A13" s="19" t="s">
        <v>418</v>
      </c>
      <c r="B13" s="20">
        <v>6</v>
      </c>
      <c r="C13" s="20">
        <v>3</v>
      </c>
      <c r="D13" s="20">
        <v>20</v>
      </c>
      <c r="E13" s="19" t="s">
        <v>419</v>
      </c>
      <c r="F13" s="31" t="s">
        <v>420</v>
      </c>
    </row>
    <row r="14" spans="1:6" x14ac:dyDescent="0.25">
      <c r="A14" s="22" t="s">
        <v>421</v>
      </c>
      <c r="B14" s="23">
        <v>5</v>
      </c>
      <c r="C14" s="23">
        <v>3</v>
      </c>
      <c r="D14" s="23">
        <v>14</v>
      </c>
      <c r="E14" s="22" t="s">
        <v>422</v>
      </c>
      <c r="F14" s="32" t="s">
        <v>423</v>
      </c>
    </row>
    <row r="15" spans="1:6" x14ac:dyDescent="0.25">
      <c r="A15" s="19" t="s">
        <v>424</v>
      </c>
      <c r="B15" s="20">
        <v>4</v>
      </c>
      <c r="C15" s="20">
        <v>3</v>
      </c>
      <c r="D15" s="20">
        <v>4</v>
      </c>
      <c r="E15" s="19" t="s">
        <v>425</v>
      </c>
      <c r="F15" s="31" t="s">
        <v>426</v>
      </c>
    </row>
    <row r="16" spans="1:6" ht="25.5" x14ac:dyDescent="0.25">
      <c r="A16" s="22" t="s">
        <v>427</v>
      </c>
      <c r="B16" s="23">
        <v>3</v>
      </c>
      <c r="C16" s="23">
        <v>1</v>
      </c>
      <c r="D16" s="23">
        <v>8</v>
      </c>
      <c r="E16" s="22" t="s">
        <v>428</v>
      </c>
      <c r="F16" s="39" t="s">
        <v>429</v>
      </c>
    </row>
    <row r="17" spans="1:6" x14ac:dyDescent="0.25">
      <c r="A17" s="19" t="s">
        <v>430</v>
      </c>
      <c r="B17" s="20">
        <v>2</v>
      </c>
      <c r="C17" s="20">
        <v>1</v>
      </c>
      <c r="D17" s="20">
        <v>6</v>
      </c>
      <c r="E17" s="19" t="s">
        <v>431</v>
      </c>
      <c r="F17" s="31" t="s">
        <v>432</v>
      </c>
    </row>
    <row r="18" spans="1:6" ht="25.5" x14ac:dyDescent="0.25">
      <c r="A18" s="22" t="s">
        <v>433</v>
      </c>
      <c r="B18" s="23">
        <v>2</v>
      </c>
      <c r="C18" s="23">
        <v>0</v>
      </c>
      <c r="D18" s="23">
        <v>14</v>
      </c>
      <c r="E18" s="22" t="s">
        <v>434</v>
      </c>
      <c r="F18" s="39" t="s">
        <v>435</v>
      </c>
    </row>
    <row r="19" spans="1:6" x14ac:dyDescent="0.25">
      <c r="A19" s="19" t="s">
        <v>436</v>
      </c>
      <c r="B19" s="20">
        <v>1</v>
      </c>
      <c r="C19" s="20">
        <v>1</v>
      </c>
      <c r="D19" s="20">
        <v>21</v>
      </c>
      <c r="E19" s="19" t="s">
        <v>437</v>
      </c>
      <c r="F19" s="31" t="s">
        <v>438</v>
      </c>
    </row>
    <row r="20" spans="1:6" x14ac:dyDescent="0.25">
      <c r="A20" s="22" t="s">
        <v>439</v>
      </c>
      <c r="B20" s="23">
        <v>1</v>
      </c>
      <c r="C20" s="23">
        <v>0</v>
      </c>
      <c r="D20" s="23">
        <v>1</v>
      </c>
      <c r="E20" s="22" t="s">
        <v>440</v>
      </c>
      <c r="F20" s="39" t="s">
        <v>441</v>
      </c>
    </row>
    <row r="21" spans="1:6" x14ac:dyDescent="0.25">
      <c r="A21" s="19" t="s">
        <v>442</v>
      </c>
      <c r="B21" s="20">
        <v>1</v>
      </c>
      <c r="C21" s="20">
        <v>1</v>
      </c>
      <c r="D21" s="20">
        <v>1</v>
      </c>
      <c r="E21" s="19" t="s">
        <v>443</v>
      </c>
      <c r="F21" s="40" t="s">
        <v>441</v>
      </c>
    </row>
    <row r="22" spans="1:6" x14ac:dyDescent="0.25">
      <c r="A22" s="22" t="s">
        <v>444</v>
      </c>
      <c r="B22" s="23">
        <v>1</v>
      </c>
      <c r="C22" s="23">
        <v>1</v>
      </c>
      <c r="D22" s="23">
        <v>4</v>
      </c>
      <c r="E22" s="22" t="s">
        <v>445</v>
      </c>
      <c r="F22" s="39" t="s">
        <v>441</v>
      </c>
    </row>
    <row r="23" spans="1:6" x14ac:dyDescent="0.25">
      <c r="A23" s="19" t="s">
        <v>446</v>
      </c>
      <c r="B23" s="20">
        <v>1</v>
      </c>
      <c r="C23" s="20">
        <v>0</v>
      </c>
      <c r="D23" s="20">
        <v>3</v>
      </c>
      <c r="E23" s="19" t="s">
        <v>447</v>
      </c>
      <c r="F23" s="40" t="s">
        <v>448</v>
      </c>
    </row>
    <row r="24" spans="1:6" x14ac:dyDescent="0.25">
      <c r="A24" s="22" t="s">
        <v>449</v>
      </c>
      <c r="B24" s="23">
        <v>1</v>
      </c>
      <c r="C24" s="23">
        <v>0</v>
      </c>
      <c r="D24" s="23">
        <v>2</v>
      </c>
      <c r="E24" s="22" t="s">
        <v>450</v>
      </c>
      <c r="F24" s="39" t="s">
        <v>448</v>
      </c>
    </row>
    <row r="25" spans="1:6" ht="25.5" x14ac:dyDescent="0.25">
      <c r="A25" s="19" t="s">
        <v>451</v>
      </c>
      <c r="B25" s="20">
        <v>1</v>
      </c>
      <c r="C25" s="20">
        <v>0</v>
      </c>
      <c r="D25" s="20">
        <v>1</v>
      </c>
      <c r="E25" s="19" t="s">
        <v>452</v>
      </c>
      <c r="F25" s="31" t="s">
        <v>453</v>
      </c>
    </row>
    <row r="26" spans="1:6" x14ac:dyDescent="0.25">
      <c r="A26" s="22" t="s">
        <v>454</v>
      </c>
      <c r="B26" s="23">
        <v>1</v>
      </c>
      <c r="C26" s="23">
        <v>1</v>
      </c>
      <c r="D26" s="23">
        <v>4</v>
      </c>
      <c r="E26" s="22" t="s">
        <v>455</v>
      </c>
      <c r="F26" s="32" t="s">
        <v>456</v>
      </c>
    </row>
    <row r="27" spans="1:6" x14ac:dyDescent="0.25">
      <c r="A27" s="19" t="s">
        <v>457</v>
      </c>
      <c r="B27" s="20">
        <v>1</v>
      </c>
      <c r="C27" s="20">
        <v>1</v>
      </c>
      <c r="D27" s="20">
        <v>5</v>
      </c>
      <c r="E27" s="19" t="s">
        <v>458</v>
      </c>
      <c r="F27" s="31" t="s">
        <v>432</v>
      </c>
    </row>
    <row r="28" spans="1:6" x14ac:dyDescent="0.25">
      <c r="A28" s="22" t="s">
        <v>459</v>
      </c>
      <c r="B28" s="23">
        <v>1</v>
      </c>
      <c r="C28" s="23">
        <v>1</v>
      </c>
      <c r="D28" s="23">
        <v>7</v>
      </c>
      <c r="E28" s="22" t="s">
        <v>460</v>
      </c>
      <c r="F28" s="32" t="s">
        <v>432</v>
      </c>
    </row>
    <row r="29" spans="1:6" x14ac:dyDescent="0.25">
      <c r="A29" s="19" t="s">
        <v>461</v>
      </c>
      <c r="B29" s="20">
        <v>1</v>
      </c>
      <c r="C29" s="20">
        <v>0</v>
      </c>
      <c r="D29" s="20">
        <v>1</v>
      </c>
      <c r="E29" s="19" t="s">
        <v>462</v>
      </c>
      <c r="F29" s="40" t="s">
        <v>463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 Product Type</vt:lpstr>
      <vt:lpstr>Color Values</vt:lpstr>
      <vt:lpstr>Metafield Status</vt:lpstr>
      <vt:lpstr>Fix Roadmap</vt:lpstr>
      <vt:lpstr>Size Analysis</vt:lpstr>
      <vt:lpstr>Data Quality</vt:lpstr>
      <vt:lpstr>All Option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2026-05-22T13:30:40Z</dcterms:created>
  <dcterms:modified xsi:type="dcterms:W3CDTF">2026-05-22T14:11:57Z</dcterms:modified>
</cp:coreProperties>
</file>