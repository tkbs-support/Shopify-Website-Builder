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TKBS Marketing - Git\Shopify-Website-Builder\"/>
    </mc:Choice>
  </mc:AlternateContent>
  <xr:revisionPtr revIDLastSave="0" documentId="13_ncr:1_{5C218732-D42C-4112-BB0E-362533C9DE1E}" xr6:coauthVersionLast="47" xr6:coauthVersionMax="47" xr10:uidLastSave="{00000000-0000-0000-0000-000000000000}"/>
  <bookViews>
    <workbookView xWindow="43095" yWindow="450" windowWidth="30360" windowHeight="17040" xr2:uid="{00000000-000D-0000-FFFF-FFFF00000000}"/>
  </bookViews>
  <sheets>
    <sheet name="Summary" sheetId="1" r:id="rId1"/>
    <sheet name="By Product Type" sheetId="2" r:id="rId2"/>
    <sheet name="Option Types" sheetId="3" r:id="rId3"/>
    <sheet name="Color Values" sheetId="4" r:id="rId4"/>
    <sheet name="Size Values" sheetId="5" r:id="rId5"/>
    <sheet name="Data Quality" sheetId="6" r:id="rId6"/>
    <sheet name="Metafield Status" sheetId="7" r:id="rId7"/>
    <sheet name="Fix Roadma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6" l="1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F34" i="2"/>
  <c r="D34" i="2"/>
  <c r="F33" i="2"/>
  <c r="D33" i="2"/>
  <c r="F32" i="2"/>
  <c r="D32" i="2"/>
  <c r="F31" i="2"/>
  <c r="D31" i="2"/>
  <c r="F30" i="2"/>
  <c r="D30" i="2"/>
  <c r="F29" i="2"/>
  <c r="D29" i="2"/>
  <c r="F28" i="2"/>
  <c r="D28" i="2"/>
  <c r="F27" i="2"/>
  <c r="D27" i="2"/>
  <c r="F26" i="2"/>
  <c r="D26" i="2"/>
  <c r="F25" i="2"/>
  <c r="D25" i="2"/>
  <c r="F24" i="2"/>
  <c r="D24" i="2"/>
  <c r="F23" i="2"/>
  <c r="D23" i="2"/>
  <c r="F22" i="2"/>
  <c r="D22" i="2"/>
  <c r="F21" i="2"/>
  <c r="D21" i="2"/>
  <c r="F20" i="2"/>
  <c r="D20" i="2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F9" i="2"/>
  <c r="D9" i="2"/>
  <c r="F8" i="2"/>
  <c r="D8" i="2"/>
  <c r="F7" i="2"/>
  <c r="D7" i="2"/>
  <c r="F6" i="2"/>
  <c r="D6" i="2"/>
  <c r="F5" i="2"/>
  <c r="D5" i="2"/>
  <c r="C73" i="1"/>
  <c r="C72" i="1"/>
  <c r="C71" i="1"/>
  <c r="C70" i="1"/>
  <c r="C69" i="1"/>
  <c r="C68" i="1"/>
  <c r="C67" i="1"/>
  <c r="C66" i="1"/>
  <c r="C52" i="1"/>
  <c r="C51" i="1"/>
  <c r="C50" i="1"/>
  <c r="C35" i="1"/>
  <c r="C34" i="1"/>
  <c r="C22" i="1"/>
  <c r="C21" i="1"/>
  <c r="C20" i="1"/>
  <c r="C19" i="1"/>
  <c r="C18" i="1"/>
</calcChain>
</file>

<file path=xl/sharedStrings.xml><?xml version="1.0" encoding="utf-8"?>
<sst xmlns="http://schemas.openxmlformats.org/spreadsheetml/2006/main" count="602" uniqueCount="425">
  <si>
    <t>The Clothing Cove — Inventory Recovery Plan</t>
  </si>
  <si>
    <t>Audit date: June 10, 2026  |  theclothingcove.com  |  Scope: in-stock products  |  Source: Shopify Admin API + live site crawl</t>
  </si>
  <si>
    <t>IN-STOCK PRODUCTS</t>
  </si>
  <si>
    <t>MISSING COLOR OPTION</t>
  </si>
  <si>
    <t>MISSING SIZE OPTION</t>
  </si>
  <si>
    <t>NO OPTIONS AT ALL</t>
  </si>
  <si>
    <t>of 36,047 active listings</t>
  </si>
  <si>
    <t>6,340 in-stock products</t>
  </si>
  <si>
    <t>8,643 in-stock products</t>
  </si>
  <si>
    <t>5,808 “Default Title” products</t>
  </si>
  <si>
    <t>WHAT SHOPPERS CAN FILTER ON THE LIVE SITE TODAY  (checked June 10, 2026 — /collections/dresses)</t>
  </si>
  <si>
    <t>Filter</t>
  </si>
  <si>
    <t>Available?</t>
  </si>
  <si>
    <t>Why</t>
  </si>
  <si>
    <t>In stock / availability</t>
  </si>
  <si>
    <t>YES</t>
  </si>
  <si>
    <t>Standard Shopify filter — working</t>
  </si>
  <si>
    <t>Price</t>
  </si>
  <si>
    <t>Color</t>
  </si>
  <si>
    <t>NO</t>
  </si>
  <si>
    <t>Option data incomplete + filter not enabled</t>
  </si>
  <si>
    <t>Size</t>
  </si>
  <si>
    <t>Brand / vendor</t>
  </si>
  <si>
    <t>Filter not enabled (data exists — 0 products missing vendor)</t>
  </si>
  <si>
    <t>IN-STOCK FILTER READINESS</t>
  </si>
  <si>
    <t>Status</t>
  </si>
  <si>
    <t>Products</t>
  </si>
  <si>
    <t>% of in-stock</t>
  </si>
  <si>
    <t>Has Color option</t>
  </si>
  <si>
    <t>Missing Color option</t>
  </si>
  <si>
    <t>Has Size option</t>
  </si>
  <si>
    <t>Missing Size option</t>
  </si>
  <si>
    <t>No options (“Default Title”)</t>
  </si>
  <si>
    <t>CATALOG OVERVIEW</t>
  </si>
  <si>
    <t>% of active</t>
  </si>
  <si>
    <t>In stock</t>
  </si>
  <si>
    <t>Out of stock (still published)</t>
  </si>
  <si>
    <t>Active products (total)</t>
  </si>
  <si>
    <t>Draft products (not published)</t>
  </si>
  <si>
    <t>More than two-thirds of the published catalog is out of stock — shoppers and Google still see these pages.</t>
  </si>
  <si>
    <t>OPTION NAMING HEALTH — “Color” is spelled 6 different ways</t>
  </si>
  <si>
    <t>Spelling used</t>
  </si>
  <si>
    <t>Share</t>
  </si>
  <si>
    <t>“Color” (correct)</t>
  </si>
  <si>
    <t>“COLOR”</t>
  </si>
  <si>
    <t>Other (“color”, trailing spaces, “COLORS”)</t>
  </si>
  <si>
    <t>Filters treat every spelling as a separate option — these must be unified before Color/Size filters work. Size has the same issue (“Size” vs “SIZE”).</t>
  </si>
  <si>
    <t>COLOR VALUES — too many one-off names for a usable filter</t>
  </si>
  <si>
    <t>Top color values (in-stock)</t>
  </si>
  <si>
    <t>Share of color products</t>
  </si>
  <si>
    <t>Black</t>
  </si>
  <si>
    <t>Navy</t>
  </si>
  <si>
    <t>Silver</t>
  </si>
  <si>
    <t>White</t>
  </si>
  <si>
    <t>Blue</t>
  </si>
  <si>
    <t>Pink</t>
  </si>
  <si>
    <t>Red</t>
  </si>
  <si>
    <t>Gold</t>
  </si>
  <si>
    <t>UNIQUE color values (in-stock)</t>
  </si>
  <si>
    <t>3,620 different color names across 5,353 in-stock products (e.g. one-off vendor names). A canonical palette (via Shopify color metafields) is required for swatch filters — currently mapped on only 1,201 in-stock products.</t>
  </si>
  <si>
    <t>CATALOG AGE — listings by year created</t>
  </si>
  <si>
    <t>Year created</t>
  </si>
  <si>
    <t>Active listings</t>
  </si>
  <si>
    <t>Still in stock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</si>
  <si>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</si>
  <si>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</si>
  <si>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</si>
  <si>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</si>
  <si>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</si>
  <si>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</si>
  <si>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</si>
  <si>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</si>
  <si>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</si>
  <si>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Listings created in 2018–2022 are mostly dead weight: thousands remain published with zero inventory.</t>
  </si>
  <si>
    <t>PRICE PROFILE (in-stock variants)</t>
  </si>
  <si>
    <t>Lowest</t>
  </si>
  <si>
    <t>Typical low (25th pct)</t>
  </si>
  <si>
    <t>Median</t>
  </si>
  <si>
    <t>Typical high (75th pct)</t>
  </si>
  <si>
    <t>Highest</t>
  </si>
  <si>
    <t>Filter Readiness by Product Type (in-stock focus)</t>
  </si>
  <si>
    <t>Sorted by in-stock count. Color % / Size % = share of in-stock products that have that option.</t>
  </si>
  <si>
    <t>Product Type</t>
  </si>
  <si>
    <t>In Stock</t>
  </si>
  <si>
    <t>Has Color</t>
  </si>
  <si>
    <t>Color %</t>
  </si>
  <si>
    <t>Has Size</t>
  </si>
  <si>
    <t>Size %</t>
  </si>
  <si>
    <t>No Description</t>
  </si>
  <si>
    <t>No Images</t>
  </si>
  <si>
    <t>Active (all)</t>
  </si>
  <si>
    <t>Note</t>
  </si>
  <si>
    <t>J E W</t>
  </si>
  <si>
    <t>PRIORITY — high volume, low color coverage</t>
  </si>
  <si>
    <t>H O A</t>
  </si>
  <si>
    <t>A C C</t>
  </si>
  <si>
    <t>B A G</t>
  </si>
  <si>
    <t>T O C</t>
  </si>
  <si>
    <t>Nearly filter-ready</t>
  </si>
  <si>
    <t>S O M</t>
  </si>
  <si>
    <t>C H A</t>
  </si>
  <si>
    <t>B A B</t>
  </si>
  <si>
    <t>J A K</t>
  </si>
  <si>
    <t>S H O</t>
  </si>
  <si>
    <t>S O C</t>
  </si>
  <si>
    <t>C H H</t>
  </si>
  <si>
    <t>P A M</t>
  </si>
  <si>
    <t>S O X</t>
  </si>
  <si>
    <t>D R C</t>
  </si>
  <si>
    <t>A C S</t>
  </si>
  <si>
    <t>A C H</t>
  </si>
  <si>
    <t>R D R</t>
  </si>
  <si>
    <t>S U N</t>
  </si>
  <si>
    <t>T O B</t>
  </si>
  <si>
    <t>K N W</t>
  </si>
  <si>
    <t>W A L</t>
  </si>
  <si>
    <t>P A J</t>
  </si>
  <si>
    <t>H A T</t>
  </si>
  <si>
    <t>S L P</t>
  </si>
  <si>
    <t>D R E</t>
  </si>
  <si>
    <t>T A N</t>
  </si>
  <si>
    <t>(none)</t>
  </si>
  <si>
    <t>F O D</t>
  </si>
  <si>
    <t>T O P</t>
  </si>
  <si>
    <t>Complete Inventory of Product Option Types</t>
  </si>
  <si>
    <t>36,047 active products scanned  |  17,375 have no options at all (“Default Title”)</t>
  </si>
  <si>
    <t>Option (canonical)</t>
  </si>
  <si>
    <t>Active Products</t>
  </si>
  <si>
    <t>Unique Values</t>
  </si>
  <si>
    <t>Spellings found</t>
  </si>
  <si>
    <t>Assessment</t>
  </si>
  <si>
    <t>Color:12906, COLOR:4051, color:17, COLOR :11, Color :2, color :1</t>
  </si>
  <si>
    <t>PRIMARY filter — fix naming, then map values</t>
  </si>
  <si>
    <t>Size:7203, SIZE:2811, SIZE :3</t>
  </si>
  <si>
    <t>PRIMARY filter — fix naming</t>
  </si>
  <si>
    <t>Style</t>
  </si>
  <si>
    <t>STYLE:117, Style:98, STYLE :5, style :1</t>
  </si>
  <si>
    <t>Minor — high value-sprawl</t>
  </si>
  <si>
    <t>Scent</t>
  </si>
  <si>
    <t>SCENT:24, Scent:3</t>
  </si>
  <si>
    <t>Niche (candles, home)</t>
  </si>
  <si>
    <t>Shoe Size</t>
  </si>
  <si>
    <t>Shoe size:25</t>
  </si>
  <si>
    <t>Clean — footwear only</t>
  </si>
  <si>
    <t>Colors</t>
  </si>
  <si>
    <t>COLORS:7</t>
  </si>
  <si>
    <t>BUG — merge into Color</t>
  </si>
  <si>
    <t>Print</t>
  </si>
  <si>
    <t>PRINT:4, Print:2</t>
  </si>
  <si>
    <t>Niche</t>
  </si>
  <si>
    <t>Ring Size</t>
  </si>
  <si>
    <t>Ring size:5</t>
  </si>
  <si>
    <t>Niche — jewelry</t>
  </si>
  <si>
    <t>Strength</t>
  </si>
  <si>
    <t>STRENGTH:5</t>
  </si>
  <si>
    <t>Reading glasses</t>
  </si>
  <si>
    <t>Animal</t>
  </si>
  <si>
    <t>ANIMAL:3</t>
  </si>
  <si>
    <t>Review — non-standard option</t>
  </si>
  <si>
    <t>Fragrance</t>
  </si>
  <si>
    <t>FRAGRANCE:2</t>
  </si>
  <si>
    <t>BLACK:2</t>
  </si>
  <si>
    <t>Download Our App Now!</t>
  </si>
  <si>
    <t>Download Our App Now!:1</t>
  </si>
  <si>
    <t>Bracelet Design</t>
  </si>
  <si>
    <t>Bracelet design:1</t>
  </si>
  <si>
    <t>Siz</t>
  </si>
  <si>
    <t>Siz:1</t>
  </si>
  <si>
    <t>S1Ze</t>
  </si>
  <si>
    <t>S1ze:1</t>
  </si>
  <si>
    <t>Initial</t>
  </si>
  <si>
    <t>INITIAL:1</t>
  </si>
  <si>
    <t>Saying</t>
  </si>
  <si>
    <t>Saying:1</t>
  </si>
  <si>
    <t>Verse</t>
  </si>
  <si>
    <t>Verse:1</t>
  </si>
  <si>
    <t>Character</t>
  </si>
  <si>
    <t>Character:1</t>
  </si>
  <si>
    <t>Material</t>
  </si>
  <si>
    <t>MATERIAL:1</t>
  </si>
  <si>
    <t>Oclor</t>
  </si>
  <si>
    <t>OCLOR:1</t>
  </si>
  <si>
    <t>Pattern</t>
  </si>
  <si>
    <t>PATTERN:1</t>
  </si>
  <si>
    <t>Style/Color</t>
  </si>
  <si>
    <t>Style/Color:1</t>
  </si>
  <si>
    <t>Polyester &amp; Spandex</t>
  </si>
  <si>
    <t>polyester &amp; spandex:1</t>
  </si>
  <si>
    <t>Multi</t>
  </si>
  <si>
    <t>Multi:1</t>
  </si>
  <si>
    <t>Poly Spandex</t>
  </si>
  <si>
    <t>poly spandex:1</t>
  </si>
  <si>
    <t>Flavor</t>
  </si>
  <si>
    <t>Flavor:1</t>
  </si>
  <si>
    <t>Color &amp; Size</t>
  </si>
  <si>
    <t>COLOR &amp; SIZE:1</t>
  </si>
  <si>
    <t>Length</t>
  </si>
  <si>
    <t>LENGTH:1</t>
  </si>
  <si>
    <t>Lip Balm Tint</t>
  </si>
  <si>
    <t>LIP BALM TINT:1</t>
  </si>
  <si>
    <t>Coilor</t>
  </si>
  <si>
    <t>Coilor:1</t>
  </si>
  <si>
    <t>Men'S Accessory</t>
  </si>
  <si>
    <t>MEN'S ACCESSORY:1</t>
  </si>
  <si>
    <t>Design</t>
  </si>
  <si>
    <t>DESIGN:1</t>
  </si>
  <si>
    <t>Coor</t>
  </si>
  <si>
    <t>COOR:1</t>
  </si>
  <si>
    <t>Accessory Size</t>
  </si>
  <si>
    <t>Accessory size:1</t>
  </si>
  <si>
    <t>Color Values — In-Stock Products</t>
  </si>
  <si>
    <t>3,620 unique color values across 5,353 in-stock products with a Color option (6,044 unique across full active catalog)</t>
  </si>
  <si>
    <t>Rank</t>
  </si>
  <si>
    <t>Color Value</t>
  </si>
  <si>
    <t>In-Stock Products</t>
  </si>
  <si>
    <t>% of in-stock color products</t>
  </si>
  <si>
    <t>Grey</t>
  </si>
  <si>
    <t>Purple</t>
  </si>
  <si>
    <t>Green</t>
  </si>
  <si>
    <t>Beige</t>
  </si>
  <si>
    <t>Brown</t>
  </si>
  <si>
    <t>Clear</t>
  </si>
  <si>
    <t>Ivory</t>
  </si>
  <si>
    <t>Teal</t>
  </si>
  <si>
    <t>Champagne</t>
  </si>
  <si>
    <t>Olive</t>
  </si>
  <si>
    <t>Turquoise</t>
  </si>
  <si>
    <t>Yellow</t>
  </si>
  <si>
    <t>Taupe</t>
  </si>
  <si>
    <t>Denim</t>
  </si>
  <si>
    <t>Orange</t>
  </si>
  <si>
    <t>Lavender</t>
  </si>
  <si>
    <t>Coral</t>
  </si>
  <si>
    <t>Mint</t>
  </si>
  <si>
    <t>Tan</t>
  </si>
  <si>
    <t>Aqua</t>
  </si>
  <si>
    <t>Charcoal</t>
  </si>
  <si>
    <t>Cream</t>
  </si>
  <si>
    <t>Fuchsia</t>
  </si>
  <si>
    <t>Royal</t>
  </si>
  <si>
    <t>Midnight</t>
  </si>
  <si>
    <t>Royal Blue</t>
  </si>
  <si>
    <t>Light Blue</t>
  </si>
  <si>
    <t>Pewter</t>
  </si>
  <si>
    <t>Rose</t>
  </si>
  <si>
    <t>Wine</t>
  </si>
  <si>
    <t>Burgundy</t>
  </si>
  <si>
    <t>Peach</t>
  </si>
  <si>
    <t>Rose Gold</t>
  </si>
  <si>
    <t>Blush</t>
  </si>
  <si>
    <t>Camel</t>
  </si>
  <si>
    <t>Asst</t>
  </si>
  <si>
    <t>Khaki</t>
  </si>
  <si>
    <t>Lime</t>
  </si>
  <si>
    <t>Sage</t>
  </si>
  <si>
    <t>Chocolate</t>
  </si>
  <si>
    <t>Black 0001</t>
  </si>
  <si>
    <t>Lilac</t>
  </si>
  <si>
    <t>Off White</t>
  </si>
  <si>
    <t>Aurora Borealis</t>
  </si>
  <si>
    <t>Plum</t>
  </si>
  <si>
    <t>Nude</t>
  </si>
  <si>
    <t>Hot Pink</t>
  </si>
  <si>
    <t>Ab</t>
  </si>
  <si>
    <t>Jet</t>
  </si>
  <si>
    <t>Indigo</t>
  </si>
  <si>
    <t>Denim Ignite</t>
  </si>
  <si>
    <t>Size Values — In-Stock Products</t>
  </si>
  <si>
    <t>348 unique size values across 3,050 in-stock products with a Size option</t>
  </si>
  <si>
    <t>Size Value</t>
  </si>
  <si>
    <t>Category</t>
  </si>
  <si>
    <t>M</t>
  </si>
  <si>
    <t>Letter</t>
  </si>
  <si>
    <t>L</t>
  </si>
  <si>
    <t>S</t>
  </si>
  <si>
    <t>XL</t>
  </si>
  <si>
    <t>10</t>
  </si>
  <si>
    <t>Numeric</t>
  </si>
  <si>
    <t>8</t>
  </si>
  <si>
    <t>12</t>
  </si>
  <si>
    <t>6</t>
  </si>
  <si>
    <t>14</t>
  </si>
  <si>
    <t>16</t>
  </si>
  <si>
    <t>4</t>
  </si>
  <si>
    <t>9</t>
  </si>
  <si>
    <t>7</t>
  </si>
  <si>
    <t>XS</t>
  </si>
  <si>
    <t>XXL</t>
  </si>
  <si>
    <t>2</t>
  </si>
  <si>
    <t>18</t>
  </si>
  <si>
    <t>S/M</t>
  </si>
  <si>
    <t>L/XL</t>
  </si>
  <si>
    <t>PL</t>
  </si>
  <si>
    <t>Other</t>
  </si>
  <si>
    <t>8.5</t>
  </si>
  <si>
    <t>7.5</t>
  </si>
  <si>
    <t>PM</t>
  </si>
  <si>
    <t>PS</t>
  </si>
  <si>
    <t>PXL</t>
  </si>
  <si>
    <t>5</t>
  </si>
  <si>
    <t>1.75</t>
  </si>
  <si>
    <t>6.5</t>
  </si>
  <si>
    <t>2.5</t>
  </si>
  <si>
    <t>38</t>
  </si>
  <si>
    <t>2.25</t>
  </si>
  <si>
    <t>1.25</t>
  </si>
  <si>
    <t>2.75</t>
  </si>
  <si>
    <t>40</t>
  </si>
  <si>
    <t>0</t>
  </si>
  <si>
    <t>1.5</t>
  </si>
  <si>
    <t>14W</t>
  </si>
  <si>
    <t>11</t>
  </si>
  <si>
    <t>12P</t>
  </si>
  <si>
    <t>39</t>
  </si>
  <si>
    <t>16W</t>
  </si>
  <si>
    <t>18W</t>
  </si>
  <si>
    <t>LARGE</t>
  </si>
  <si>
    <t>9.5</t>
  </si>
  <si>
    <t>10P</t>
  </si>
  <si>
    <t>41</t>
  </si>
  <si>
    <t>SMALL</t>
  </si>
  <si>
    <t>ONE SIZE</t>
  </si>
  <si>
    <t>14P</t>
  </si>
  <si>
    <t>37</t>
  </si>
  <si>
    <t>8P</t>
  </si>
  <si>
    <t>1.50</t>
  </si>
  <si>
    <t>6P</t>
  </si>
  <si>
    <t>N12</t>
  </si>
  <si>
    <t>16P</t>
  </si>
  <si>
    <t>N14</t>
  </si>
  <si>
    <t>1X</t>
  </si>
  <si>
    <t>1.00</t>
  </si>
  <si>
    <t>2.00</t>
  </si>
  <si>
    <t>2XL</t>
  </si>
  <si>
    <t>Data Quality — Option Naming Cleanup List</t>
  </si>
  <si>
    <t>7,059 products carry a misspelled or inconsistent option name. Fixes change only the option LABEL — no variants, prices, or inventory are touched.</t>
  </si>
  <si>
    <t>Issue</t>
  </si>
  <si>
    <t>Current Spelling</t>
  </si>
  <si>
    <t>Should Be</t>
  </si>
  <si>
    <t>Products Affected</t>
  </si>
  <si>
    <t>Inconsistent casing</t>
  </si>
  <si>
    <t>COLOR</t>
  </si>
  <si>
    <t>SIZE</t>
  </si>
  <si>
    <t>STYLE</t>
  </si>
  <si>
    <t>SCENT</t>
  </si>
  <si>
    <t>color</t>
  </si>
  <si>
    <t>Trailing/leading space</t>
  </si>
  <si>
    <t xml:space="preserve">COLOR </t>
  </si>
  <si>
    <t>COLORS</t>
  </si>
  <si>
    <t xml:space="preserve">STYLE </t>
  </si>
  <si>
    <t>STRENGTH</t>
  </si>
  <si>
    <t>PRINT</t>
  </si>
  <si>
    <t xml:space="preserve">SIZE </t>
  </si>
  <si>
    <t xml:space="preserve">Color </t>
  </si>
  <si>
    <t xml:space="preserve">color </t>
  </si>
  <si>
    <t xml:space="preserve">style </t>
  </si>
  <si>
    <t>TOTAL (rename in one scripted batch)</t>
  </si>
  <si>
    <t>NON-STANDARD OPTIONS TO REVIEW</t>
  </si>
  <si>
    <t>Option Name(s)</t>
  </si>
  <si>
    <t>Review</t>
  </si>
  <si>
    <t>ANIMAL</t>
  </si>
  <si>
    <t>FRAGRANCE</t>
  </si>
  <si>
    <t>BLACK</t>
  </si>
  <si>
    <t>Bracelet design</t>
  </si>
  <si>
    <t>S1ze</t>
  </si>
  <si>
    <t>INITIAL</t>
  </si>
  <si>
    <t>MATERIAL</t>
  </si>
  <si>
    <t>OCLOR</t>
  </si>
  <si>
    <t>PATTERN</t>
  </si>
  <si>
    <t>polyester &amp; spandex</t>
  </si>
  <si>
    <t>poly spandex</t>
  </si>
  <si>
    <t>COLOR &amp; SIZE</t>
  </si>
  <si>
    <t>LENGTH</t>
  </si>
  <si>
    <t>LIP BALM TINT</t>
  </si>
  <si>
    <t>MEN'S ACCESSORY</t>
  </si>
  <si>
    <t>DESIGN</t>
  </si>
  <si>
    <t>COOR</t>
  </si>
  <si>
    <t>Accessory size</t>
  </si>
  <si>
    <t>Color Metafield (Canonical Palette) Status</t>
  </si>
  <si>
    <t>Shopify’s shopify.color-pattern metafield maps messy color names to a standard palette — the foundation for swatch filters.</t>
  </si>
  <si>
    <t>Metric</t>
  </si>
  <si>
    <t>Value</t>
  </si>
  <si>
    <t>% of scope</t>
  </si>
  <si>
    <t>In-stock products with color-pattern metafield</t>
  </si>
  <si>
    <t>Active products with color-pattern metafield</t>
  </si>
  <si>
    <t>Unique palette colors referenced (in-stock)</t>
  </si>
  <si>
    <t>Unique palette colors referenced (active)</t>
  </si>
  <si>
    <t>Unique raw color values to map (in-stock)</t>
  </si>
  <si>
    <t>Read: only 10% of in-stock products have a mapped palette color. The remaining ~3,620 raw values need mapping to ~290 palette colors for clean swatch filtering.</t>
  </si>
  <si>
    <t>Inventory Recovery — Fix Roadmap</t>
  </si>
  <si>
    <t>Sequenced so each phase unlocks the next. Phases 1–2 require no product-data changes shoppers can see.</t>
  </si>
  <si>
    <t>Phase</t>
  </si>
  <si>
    <t>Action</t>
  </si>
  <si>
    <t>Scope</t>
  </si>
  <si>
    <t>Effort</t>
  </si>
  <si>
    <t>Risk</t>
  </si>
  <si>
    <t>Phase 1</t>
  </si>
  <si>
    <t>Option naming cleanup — rename COLOR→Color, SIZE→Size, fix trailing spaces / typos / COLORS in one scripted batch.</t>
  </si>
  <si>
    <t>7,059 products (label only)</t>
  </si>
  <si>
    <t>2–3 hours</t>
  </si>
  <si>
    <t>Low — labels only; variants, prices, inventory untouched</t>
  </si>
  <si>
    <t>Phase 2</t>
  </si>
  <si>
    <t>Enable Color &amp; Size filters — configure Search &amp; Discovery, activate color swatches on the live theme (currently no swatch config).</t>
  </si>
  <si>
    <t>Theme + app settings, 0 products</t>
  </si>
  <si>
    <t>2–4 hours</t>
  </si>
  <si>
    <t>None — display settings, instantly reversible</t>
  </si>
  <si>
    <t>Phase 3</t>
  </si>
  <si>
    <t>Canonical color mapping — map raw color values to Shopify’s standard palette (color-pattern metafields) so swatches render correctly.</t>
  </si>
  <si>
    <t>5,353 in-stock products / 3,620 values</t>
  </si>
  <si>
    <t>1–2 weeks scripted + review</t>
  </si>
  <si>
    <t>Low — additive metadata</t>
  </si>
  <si>
    <t>Phase 4</t>
  </si>
  <si>
    <t>Add missing Color/Size options to in-stock products, prioritized by product type (see By Product Type sheet).</t>
  </si>
  <si>
    <t>6,340 missing Color / 8,643 missing Size</t>
  </si>
  <si>
    <t>2–6 weeks, incremental</t>
  </si>
  <si>
    <t>Medium — product data edits; dry-run per type</t>
  </si>
  <si>
    <t>Phase 5</t>
  </si>
  <si>
    <t>Out-of-stock cleanup — archive or hide stale zero-inventory listings (most created 2018–2022) to declutter search, collections, and SEO.</t>
  </si>
  <si>
    <t>24,354 published OOS products</t>
  </si>
  <si>
    <t>1–2 days scripted after policy decision</t>
  </si>
  <si>
    <t>Medium — reversible (archive, don’t delete)</t>
  </si>
  <si>
    <t>Phase 6</t>
  </si>
  <si>
    <t>Publish &amp; verify — confirm filters live on key collections, re-crawl site, spot-check top 20 collections.</t>
  </si>
  <si>
    <t>Site-wide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</si>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</sst>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.00"/>
    <numFmt numFmtId="166" formatCode="&quot;$&quot;#,##0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20"/>
      <color rgb="FFFFFFFF"/>
      <name val="Arial"/>
    </font>
    <font>
      <sz val="8"/>
      <color rgb="FFFFFFFF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548235"/>
      <name val="Arial"/>
    </font>
    <font>
      <b/>
      <sz val="10"/>
      <color rgb="FFC00000"/>
      <name val="Arial"/>
    </font>
    <font>
      <b/>
      <sz val="10"/>
      <name val="Arial"/>
    </font>
    <font>
      <i/>
      <sz val="9"/>
      <color rgb="FF808080"/>
      <name val="Arial"/>
    </font>
    <font>
      <b/>
      <sz val="10"/>
      <color rgb="FF1F386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8" fillId="0" borderId="1" xfId="0" applyNumberFormat="1" applyFont="1" applyBorder="1"/>
    <xf numFmtId="164" fontId="8" fillId="0" borderId="1" xfId="0" applyNumberFormat="1" applyFont="1" applyBorder="1"/>
    <xf numFmtId="0" fontId="11" fillId="0" borderId="1" xfId="0" applyFont="1" applyBorder="1"/>
    <xf numFmtId="0" fontId="12" fillId="0" borderId="0" xfId="0" applyFont="1"/>
    <xf numFmtId="0" fontId="12" fillId="0" borderId="0" xfId="0" applyFont="1" applyAlignment="1">
      <alignment wrapText="1"/>
    </xf>
    <xf numFmtId="0" fontId="10" fillId="0" borderId="1" xfId="0" applyFont="1" applyBorder="1"/>
    <xf numFmtId="3" fontId="10" fillId="0" borderId="1" xfId="0" applyNumberFormat="1" applyFont="1" applyBorder="1"/>
    <xf numFmtId="165" fontId="8" fillId="0" borderId="1" xfId="0" applyNumberFormat="1" applyFont="1" applyBorder="1"/>
    <xf numFmtId="166" fontId="8" fillId="0" borderId="1" xfId="0" applyNumberFormat="1" applyFont="1" applyBorder="1"/>
    <xf numFmtId="3" fontId="11" fillId="0" borderId="1" xfId="0" applyNumberFormat="1" applyFont="1" applyBorder="1"/>
    <xf numFmtId="0" fontId="1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6" borderId="0" xfId="0" applyFont="1" applyFill="1" applyAlignment="1">
      <alignment horizontal="left" vertical="center" indent="1"/>
    </xf>
    <xf numFmtId="0" fontId="0" fillId="0" borderId="0" xfId="0"/>
    <xf numFmtId="164" fontId="4" fillId="5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 indent="1"/>
    </xf>
    <xf numFmtId="3" fontId="4" fillId="2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left" vertical="center" indent="1"/>
    </xf>
    <xf numFmtId="0" fontId="1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In-stock products: can they be filtered?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2E9BA6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71-4768-AA83-D7FF5E866701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71-4768-AA83-D7FF5E866701}"/>
              </c:ext>
            </c:extLst>
          </c:dPt>
          <c:dPt>
            <c:idx val="2"/>
            <c:invertIfNegative val="1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71-4768-AA83-D7FF5E866701}"/>
              </c:ext>
            </c:extLst>
          </c:dPt>
          <c:dPt>
            <c:idx val="3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B71-4768-AA83-D7FF5E866701}"/>
              </c:ext>
            </c:extLst>
          </c:dPt>
          <c:dPt>
            <c:idx val="4"/>
            <c:invertIfNegative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B71-4768-AA83-D7FF5E86670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Summary!$A$18:$A$22</c:f>
              <c:strCache>
                <c:ptCount val="5"/>
                <c:pt idx="0">
                  <c:v>Has Color option</c:v>
                </c:pt>
                <c:pt idx="1">
                  <c:v>Missing Color option</c:v>
                </c:pt>
                <c:pt idx="2">
                  <c:v>Has Size option</c:v>
                </c:pt>
                <c:pt idx="3">
                  <c:v>Missing Size option</c:v>
                </c:pt>
                <c:pt idx="4">
                  <c:v>No options (“Default Title”)</c:v>
                </c:pt>
              </c:strCache>
            </c:strRef>
          </c:cat>
          <c:val>
            <c:numRef>
              <c:f>Summary!$B$18:$B$22</c:f>
              <c:numCache>
                <c:formatCode>#,##0</c:formatCode>
                <c:ptCount val="5"/>
                <c:pt idx="0">
                  <c:v>5353</c:v>
                </c:pt>
                <c:pt idx="1">
                  <c:v>6340</c:v>
                </c:pt>
                <c:pt idx="2">
                  <c:v>3050</c:v>
                </c:pt>
                <c:pt idx="3">
                  <c:v>8643</c:v>
                </c:pt>
                <c:pt idx="4">
                  <c:v>5808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AB71-4768-AA83-D7FF5E8667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Active catalog: in stock vs out of stock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25-41D3-87E6-9C0E17303E3B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25-41D3-87E6-9C0E17303E3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Summary!$A$34:$A$35</c:f>
              <c:strCache>
                <c:ptCount val="2"/>
                <c:pt idx="0">
                  <c:v>In stock</c:v>
                </c:pt>
                <c:pt idx="1">
                  <c:v>Out of stock (still published)</c:v>
                </c:pt>
              </c:strCache>
            </c:strRef>
          </c:cat>
          <c:val>
            <c:numRef>
              <c:f>Summary!$B$34:$B$35</c:f>
              <c:numCache>
                <c:formatCode>#,##0</c:formatCode>
                <c:ptCount val="2"/>
                <c:pt idx="0">
                  <c:v>11693</c:v>
                </c:pt>
                <c:pt idx="1">
                  <c:v>24354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25-41D3-87E6-9C0E17303E3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How the Color option is spelled (active products)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07-4AFD-9F6B-4BB84A21EFFF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07-4AFD-9F6B-4BB84A21EFFF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C07-4AFD-9F6B-4BB84A21EFF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Summary!$A$50:$A$52</c:f>
              <c:strCache>
                <c:ptCount val="3"/>
                <c:pt idx="0">
                  <c:v>“Color” (correct)</c:v>
                </c:pt>
                <c:pt idx="1">
                  <c:v>“COLOR”</c:v>
                </c:pt>
                <c:pt idx="2">
                  <c:v>Other (“color”, trailing spaces, “COLORS”)</c:v>
                </c:pt>
              </c:strCache>
            </c:strRef>
          </c:cat>
          <c:val>
            <c:numRef>
              <c:f>Summary!$B$50:$B$52</c:f>
              <c:numCache>
                <c:formatCode>#,##0</c:formatCode>
                <c:ptCount val="3"/>
                <c:pt idx="0">
                  <c:v>12906</c:v>
                </c:pt>
                <c:pt idx="1">
                  <c:v>4051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07-4AFD-9F6B-4BB84A21EFF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in-stock color values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F386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Summary!$A$66:$A$73</c:f>
              <c:strCache>
                <c:ptCount val="8"/>
                <c:pt idx="0">
                  <c:v>Black</c:v>
                </c:pt>
                <c:pt idx="1">
                  <c:v>Navy</c:v>
                </c:pt>
                <c:pt idx="2">
                  <c:v>Silver</c:v>
                </c:pt>
                <c:pt idx="3">
                  <c:v>White</c:v>
                </c:pt>
                <c:pt idx="4">
                  <c:v>Blue</c:v>
                </c:pt>
                <c:pt idx="5">
                  <c:v>Pink</c:v>
                </c:pt>
                <c:pt idx="6">
                  <c:v>Red</c:v>
                </c:pt>
                <c:pt idx="7">
                  <c:v>Gold</c:v>
                </c:pt>
              </c:strCache>
            </c:strRef>
          </c:cat>
          <c:val>
            <c:numRef>
              <c:f>Summary!$B$66:$B$73</c:f>
              <c:numCache>
                <c:formatCode>#,##0</c:formatCode>
                <c:ptCount val="8"/>
                <c:pt idx="0">
                  <c:v>1203</c:v>
                </c:pt>
                <c:pt idx="1">
                  <c:v>477</c:v>
                </c:pt>
                <c:pt idx="2">
                  <c:v>459</c:v>
                </c:pt>
                <c:pt idx="3">
                  <c:v>435</c:v>
                </c:pt>
                <c:pt idx="4">
                  <c:v>339</c:v>
                </c:pt>
                <c:pt idx="5">
                  <c:v>338</c:v>
                </c:pt>
                <c:pt idx="6">
                  <c:v>323</c:v>
                </c:pt>
                <c:pt idx="7">
                  <c:v>317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32-4EFB-978E-C1583A9134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Catalog age: active listings vs still in stock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Summary!$B$81</c:f>
              <c:strCache>
                <c:ptCount val="1"/>
                <c:pt idx="0">
                  <c:v>Active listings</c:v>
                </c:pt>
              </c:strCache>
            </c:strRef>
          </c:tx>
          <c:spPr>
            <a:solidFill>
              <a:srgbClr val="D9D9D9"/>
            </a:solidFill>
            <a:ln>
              <a:prstDash val="solid"/>
            </a:ln>
          </c:spPr>
          <c:invertIfNegative val="1"/>
          <c:cat>
            <c:strRef>
              <c:f>Summary!$A$82:$A$90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Summary!$B$82:$B$90</c:f>
              <c:numCache>
                <c:formatCode>#,##0</c:formatCode>
                <c:ptCount val="9"/>
                <c:pt idx="0">
                  <c:v>2127</c:v>
                </c:pt>
                <c:pt idx="1">
                  <c:v>2326</c:v>
                </c:pt>
                <c:pt idx="2">
                  <c:v>1701</c:v>
                </c:pt>
                <c:pt idx="3">
                  <c:v>3110</c:v>
                </c:pt>
                <c:pt idx="4">
                  <c:v>4097</c:v>
                </c:pt>
                <c:pt idx="5">
                  <c:v>8062</c:v>
                </c:pt>
                <c:pt idx="6">
                  <c:v>6072</c:v>
                </c:pt>
                <c:pt idx="7">
                  <c:v>6031</c:v>
                </c:pt>
                <c:pt idx="8">
                  <c:v>2521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1F-4ABD-9C0A-258911F8615B}"/>
            </c:ext>
          </c:extLst>
        </c:ser>
        <c:ser>
          <c:idx val="1"/>
          <c:order val="1"/>
          <c:tx>
            <c:strRef>
              <c:f>Summary!$C$81</c:f>
              <c:strCache>
                <c:ptCount val="1"/>
                <c:pt idx="0">
                  <c:v>Still in stock</c:v>
                </c:pt>
              </c:strCache>
            </c:strRef>
          </c:tx>
          <c:spPr>
            <a:solidFill>
              <a:srgbClr val="2E9BA6"/>
            </a:solidFill>
            <a:ln>
              <a:prstDash val="solid"/>
            </a:ln>
          </c:spPr>
          <c:invertIfNegative val="1"/>
          <c:cat>
            <c:strRef>
              <c:f>Summary!$A$82:$A$90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Summary!$C$82:$C$90</c:f>
              <c:numCache>
                <c:formatCode>#,##0</c:formatCode>
                <c:ptCount val="9"/>
                <c:pt idx="0">
                  <c:v>519</c:v>
                </c:pt>
                <c:pt idx="1">
                  <c:v>331</c:v>
                </c:pt>
                <c:pt idx="2">
                  <c:v>217</c:v>
                </c:pt>
                <c:pt idx="3">
                  <c:v>432</c:v>
                </c:pt>
                <c:pt idx="4">
                  <c:v>728</c:v>
                </c:pt>
                <c:pt idx="5">
                  <c:v>2478</c:v>
                </c:pt>
                <c:pt idx="6">
                  <c:v>2125</c:v>
                </c:pt>
                <c:pt idx="7">
                  <c:v>2798</c:v>
                </c:pt>
                <c:pt idx="8">
                  <c:v>2065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1F-4ABD-9C0A-258911F86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15</xdr:row>
      <xdr:rowOff>0</xdr:rowOff>
    </xdr:from>
    <xdr:ext cx="540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31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47</xdr:row>
      <xdr:rowOff>0</xdr:rowOff>
    </xdr:from>
    <xdr:ext cx="39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63</xdr:row>
      <xdr:rowOff>0</xdr:rowOff>
    </xdr:from>
    <xdr:ext cx="5400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79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101"/>
  <sheetViews>
    <sheetView showGridLines="0" tabSelected="1" workbookViewId="0">
      <selection sqref="A1:M1"/>
    </sheetView>
  </sheetViews>
  <sheetFormatPr defaultRowHeight="15" x14ac:dyDescent="0.25"/>
  <cols>
    <col min="1" max="1" width="30" customWidth="1"/>
    <col min="2" max="2" width="12" customWidth="1"/>
    <col min="3" max="13" width="11" customWidth="1"/>
  </cols>
  <sheetData>
    <row r="1" spans="1:13" ht="30" customHeight="1" x14ac:dyDescent="0.25">
      <c r="A1" s="24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8" customHeight="1" x14ac:dyDescent="0.25">
      <c r="A2" s="2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26.1" customHeight="1" x14ac:dyDescent="0.25">
      <c r="A4" s="28" t="s">
        <v>2</v>
      </c>
      <c r="B4" s="18"/>
      <c r="D4" s="27" t="s">
        <v>3</v>
      </c>
      <c r="E4" s="18"/>
      <c r="G4" s="27" t="s">
        <v>4</v>
      </c>
      <c r="H4" s="18"/>
      <c r="J4" s="23" t="s">
        <v>5</v>
      </c>
      <c r="K4" s="18"/>
    </row>
    <row r="5" spans="1:13" ht="30" customHeight="1" x14ac:dyDescent="0.25">
      <c r="A5" s="25">
        <v>11693</v>
      </c>
      <c r="B5" s="18"/>
      <c r="D5" s="26">
        <v>0.54220473787736256</v>
      </c>
      <c r="E5" s="18"/>
      <c r="G5" s="26">
        <v>0.73916018130505434</v>
      </c>
      <c r="H5" s="18"/>
      <c r="J5" s="19">
        <v>0.49670743179680149</v>
      </c>
      <c r="K5" s="18"/>
    </row>
    <row r="6" spans="1:13" x14ac:dyDescent="0.25">
      <c r="A6" s="20" t="s">
        <v>6</v>
      </c>
      <c r="B6" s="18"/>
      <c r="D6" s="21" t="s">
        <v>7</v>
      </c>
      <c r="E6" s="18"/>
      <c r="G6" s="21" t="s">
        <v>8</v>
      </c>
      <c r="H6" s="18"/>
      <c r="J6" s="22" t="s">
        <v>9</v>
      </c>
      <c r="K6" s="18"/>
    </row>
    <row r="8" spans="1:13" ht="20.100000000000001" customHeight="1" x14ac:dyDescent="0.25">
      <c r="A8" s="17" t="s">
        <v>10</v>
      </c>
      <c r="B8" s="18"/>
      <c r="C8" s="18"/>
      <c r="D8" s="18"/>
      <c r="E8" s="18"/>
    </row>
    <row r="9" spans="1:13" x14ac:dyDescent="0.25">
      <c r="A9" s="1" t="s">
        <v>11</v>
      </c>
      <c r="B9" s="1" t="s">
        <v>12</v>
      </c>
      <c r="C9" s="1" t="s">
        <v>13</v>
      </c>
    </row>
    <row r="10" spans="1:13" x14ac:dyDescent="0.25">
      <c r="A10" s="2" t="s">
        <v>14</v>
      </c>
      <c r="B10" s="3" t="s">
        <v>15</v>
      </c>
      <c r="C10" s="2" t="s">
        <v>16</v>
      </c>
    </row>
    <row r="11" spans="1:13" x14ac:dyDescent="0.25">
      <c r="A11" s="2" t="s">
        <v>17</v>
      </c>
      <c r="B11" s="3" t="s">
        <v>15</v>
      </c>
      <c r="C11" s="2" t="s">
        <v>16</v>
      </c>
    </row>
    <row r="12" spans="1:13" x14ac:dyDescent="0.25">
      <c r="A12" s="2" t="s">
        <v>18</v>
      </c>
      <c r="B12" s="4" t="s">
        <v>19</v>
      </c>
      <c r="C12" s="2" t="s">
        <v>20</v>
      </c>
    </row>
    <row r="13" spans="1:13" x14ac:dyDescent="0.25">
      <c r="A13" s="2" t="s">
        <v>21</v>
      </c>
      <c r="B13" s="4" t="s">
        <v>19</v>
      </c>
      <c r="C13" s="2" t="s">
        <v>20</v>
      </c>
    </row>
    <row r="14" spans="1:13" x14ac:dyDescent="0.25">
      <c r="A14" s="2" t="s">
        <v>22</v>
      </c>
      <c r="B14" s="4" t="s">
        <v>19</v>
      </c>
      <c r="C14" s="2" t="s">
        <v>23</v>
      </c>
    </row>
    <row r="16" spans="1:13" ht="20.100000000000001" customHeight="1" x14ac:dyDescent="0.25">
      <c r="A16" s="17" t="s">
        <v>24</v>
      </c>
      <c r="B16" s="18"/>
      <c r="C16" s="18"/>
      <c r="D16" s="18"/>
      <c r="E16" s="18"/>
    </row>
    <row r="17" spans="1:5" ht="25.5" x14ac:dyDescent="0.25">
      <c r="A17" s="1" t="s">
        <v>25</v>
      </c>
      <c r="B17" s="1" t="s">
        <v>26</v>
      </c>
      <c r="C17" s="1" t="s">
        <v>27</v>
      </c>
    </row>
    <row r="18" spans="1:5" x14ac:dyDescent="0.25">
      <c r="A18" s="2" t="s">
        <v>28</v>
      </c>
      <c r="B18" s="5">
        <v>5353</v>
      </c>
      <c r="C18" s="6">
        <f>B18/11693</f>
        <v>0.45779526212263749</v>
      </c>
    </row>
    <row r="19" spans="1:5" x14ac:dyDescent="0.25">
      <c r="A19" s="2" t="s">
        <v>29</v>
      </c>
      <c r="B19" s="5">
        <v>6340</v>
      </c>
      <c r="C19" s="6">
        <f>B19/11693</f>
        <v>0.54220473787736256</v>
      </c>
    </row>
    <row r="20" spans="1:5" x14ac:dyDescent="0.25">
      <c r="A20" s="2" t="s">
        <v>30</v>
      </c>
      <c r="B20" s="5">
        <v>3050</v>
      </c>
      <c r="C20" s="6">
        <f>B20/11693</f>
        <v>0.26083981869494571</v>
      </c>
    </row>
    <row r="21" spans="1:5" x14ac:dyDescent="0.25">
      <c r="A21" s="2" t="s">
        <v>31</v>
      </c>
      <c r="B21" s="5">
        <v>8643</v>
      </c>
      <c r="C21" s="6">
        <f>B21/11693</f>
        <v>0.73916018130505434</v>
      </c>
    </row>
    <row r="22" spans="1:5" x14ac:dyDescent="0.25">
      <c r="A22" s="2" t="s">
        <v>32</v>
      </c>
      <c r="B22" s="5">
        <v>5808</v>
      </c>
      <c r="C22" s="6">
        <f>B22/11693</f>
        <v>0.49670743179680149</v>
      </c>
    </row>
    <row r="32" spans="1:5" ht="20.100000000000001" customHeight="1" x14ac:dyDescent="0.25">
      <c r="A32" s="17" t="s">
        <v>33</v>
      </c>
      <c r="B32" s="18"/>
      <c r="C32" s="18"/>
      <c r="D32" s="18"/>
      <c r="E32" s="18"/>
    </row>
    <row r="33" spans="1:5" x14ac:dyDescent="0.25">
      <c r="A33" s="1" t="s">
        <v>25</v>
      </c>
      <c r="B33" s="1" t="s">
        <v>26</v>
      </c>
      <c r="C33" s="1" t="s">
        <v>34</v>
      </c>
    </row>
    <row r="34" spans="1:5" x14ac:dyDescent="0.25">
      <c r="A34" s="2" t="s">
        <v>35</v>
      </c>
      <c r="B34" s="5">
        <v>11693</v>
      </c>
      <c r="C34" s="6">
        <f>B34/36047</f>
        <v>0.32438205675923099</v>
      </c>
    </row>
    <row r="35" spans="1:5" x14ac:dyDescent="0.25">
      <c r="A35" s="2" t="s">
        <v>36</v>
      </c>
      <c r="B35" s="5">
        <v>24354</v>
      </c>
      <c r="C35" s="6">
        <f>B35/36047</f>
        <v>0.67561794324076896</v>
      </c>
    </row>
    <row r="36" spans="1:5" x14ac:dyDescent="0.25">
      <c r="A36" s="7" t="s">
        <v>37</v>
      </c>
      <c r="B36" s="5">
        <v>36047</v>
      </c>
      <c r="C36" s="6">
        <v>1</v>
      </c>
    </row>
    <row r="37" spans="1:5" x14ac:dyDescent="0.25">
      <c r="A37" s="2" t="s">
        <v>38</v>
      </c>
      <c r="B37" s="5">
        <v>912</v>
      </c>
      <c r="C37" s="2"/>
    </row>
    <row r="38" spans="1:5" x14ac:dyDescent="0.25">
      <c r="A38" s="8" t="s">
        <v>39</v>
      </c>
    </row>
    <row r="48" spans="1:5" ht="20.100000000000001" customHeight="1" x14ac:dyDescent="0.25">
      <c r="A48" s="17" t="s">
        <v>40</v>
      </c>
      <c r="B48" s="18"/>
      <c r="C48" s="18"/>
      <c r="D48" s="18"/>
      <c r="E48" s="18"/>
    </row>
    <row r="49" spans="1:5" x14ac:dyDescent="0.25">
      <c r="A49" s="1" t="s">
        <v>41</v>
      </c>
      <c r="B49" s="1" t="s">
        <v>26</v>
      </c>
      <c r="C49" s="1" t="s">
        <v>42</v>
      </c>
    </row>
    <row r="50" spans="1:5" x14ac:dyDescent="0.25">
      <c r="A50" s="2" t="s">
        <v>43</v>
      </c>
      <c r="B50" s="5">
        <v>12906</v>
      </c>
      <c r="C50" s="6">
        <f>B50/16995</f>
        <v>0.75939982347749335</v>
      </c>
    </row>
    <row r="51" spans="1:5" x14ac:dyDescent="0.25">
      <c r="A51" s="2" t="s">
        <v>44</v>
      </c>
      <c r="B51" s="5">
        <v>4051</v>
      </c>
      <c r="C51" s="6">
        <f>B51/16995</f>
        <v>0.23836422477199176</v>
      </c>
    </row>
    <row r="52" spans="1:5" x14ac:dyDescent="0.25">
      <c r="A52" s="2" t="s">
        <v>45</v>
      </c>
      <c r="B52" s="5">
        <v>38</v>
      </c>
      <c r="C52" s="6">
        <f>B52/16995</f>
        <v>2.2359517505148572E-3</v>
      </c>
    </row>
    <row r="53" spans="1:5" ht="60.75" x14ac:dyDescent="0.25">
      <c r="A53" s="9" t="s">
        <v>46</v>
      </c>
    </row>
    <row r="64" spans="1:5" ht="20.100000000000001" customHeight="1" x14ac:dyDescent="0.25">
      <c r="A64" s="17" t="s">
        <v>47</v>
      </c>
      <c r="B64" s="18"/>
      <c r="C64" s="18"/>
      <c r="D64" s="18"/>
      <c r="E64" s="18"/>
    </row>
    <row r="65" spans="1:5" ht="38.25" x14ac:dyDescent="0.25">
      <c r="A65" s="1" t="s">
        <v>48</v>
      </c>
      <c r="B65" s="1" t="s">
        <v>26</v>
      </c>
      <c r="C65" s="1" t="s">
        <v>49</v>
      </c>
    </row>
    <row r="66" spans="1:5" x14ac:dyDescent="0.25">
      <c r="A66" s="2" t="s">
        <v>50</v>
      </c>
      <c r="B66" s="5">
        <v>1203</v>
      </c>
      <c r="C66" s="6">
        <f t="shared" ref="C66:C73" si="0">B66/5353</f>
        <v>0.22473379413413039</v>
      </c>
    </row>
    <row r="67" spans="1:5" x14ac:dyDescent="0.25">
      <c r="A67" s="2" t="s">
        <v>51</v>
      </c>
      <c r="B67" s="5">
        <v>477</v>
      </c>
      <c r="C67" s="6">
        <f t="shared" si="0"/>
        <v>8.9108910891089105E-2</v>
      </c>
    </row>
    <row r="68" spans="1:5" x14ac:dyDescent="0.25">
      <c r="A68" s="2" t="s">
        <v>52</v>
      </c>
      <c r="B68" s="5">
        <v>459</v>
      </c>
      <c r="C68" s="6">
        <f t="shared" si="0"/>
        <v>8.5746310480104615E-2</v>
      </c>
    </row>
    <row r="69" spans="1:5" x14ac:dyDescent="0.25">
      <c r="A69" s="2" t="s">
        <v>53</v>
      </c>
      <c r="B69" s="5">
        <v>435</v>
      </c>
      <c r="C69" s="6">
        <f t="shared" si="0"/>
        <v>8.1262843265458615E-2</v>
      </c>
    </row>
    <row r="70" spans="1:5" x14ac:dyDescent="0.25">
      <c r="A70" s="2" t="s">
        <v>54</v>
      </c>
      <c r="B70" s="5">
        <v>339</v>
      </c>
      <c r="C70" s="6">
        <f t="shared" si="0"/>
        <v>6.3328974406874655E-2</v>
      </c>
    </row>
    <row r="71" spans="1:5" x14ac:dyDescent="0.25">
      <c r="A71" s="2" t="s">
        <v>55</v>
      </c>
      <c r="B71" s="5">
        <v>338</v>
      </c>
      <c r="C71" s="6">
        <f t="shared" si="0"/>
        <v>6.3142163272931068E-2</v>
      </c>
    </row>
    <row r="72" spans="1:5" x14ac:dyDescent="0.25">
      <c r="A72" s="2" t="s">
        <v>56</v>
      </c>
      <c r="B72" s="5">
        <v>323</v>
      </c>
      <c r="C72" s="6">
        <f t="shared" si="0"/>
        <v>6.0339996263777319E-2</v>
      </c>
    </row>
    <row r="73" spans="1:5" x14ac:dyDescent="0.25">
      <c r="A73" s="2" t="s">
        <v>57</v>
      </c>
      <c r="B73" s="5">
        <v>317</v>
      </c>
      <c r="C73" s="6">
        <f t="shared" si="0"/>
        <v>5.9219129460115823E-2</v>
      </c>
    </row>
    <row r="74" spans="1:5" x14ac:dyDescent="0.25">
      <c r="A74" s="10" t="s">
        <v>58</v>
      </c>
      <c r="B74" s="11">
        <v>3620</v>
      </c>
      <c r="C74" s="2"/>
    </row>
    <row r="75" spans="1:5" ht="84.75" x14ac:dyDescent="0.25">
      <c r="A75" s="9" t="s">
        <v>59</v>
      </c>
    </row>
    <row r="80" spans="1:5" ht="20.100000000000001" customHeight="1" x14ac:dyDescent="0.25">
      <c r="A80" s="17" t="s">
        <v>60</v>
      </c>
      <c r="B80" s="18"/>
      <c r="C80" s="18"/>
      <c r="D80" s="18"/>
      <c r="E80" s="18"/>
    </row>
    <row r="81" spans="1:3" ht="25.5" x14ac:dyDescent="0.25">
      <c r="A81" s="1" t="s">
        <v>61</v>
      </c>
      <c r="B81" s="1" t="s">
        <v>62</v>
      </c>
      <c r="C81" s="1" t="s">
        <v>63</v>
      </c>
    </row>
    <row r="82" spans="1:3" x14ac:dyDescent="0.25">
      <c r="A82" s="2" t="s">
        <v>64</v>
      </c>
      <c r="B82" s="5">
        <v>2127</v>
      </c>
      <c r="C82" s="5">
        <v>519</v>
      </c>
    </row>
    <row r="83" spans="1:3" x14ac:dyDescent="0.25">
      <c r="A83" s="2" t="s">
        <v>65</v>
      </c>
      <c r="B83" s="5">
        <v>2326</v>
      </c>
      <c r="C83" s="5">
        <v>331</v>
      </c>
    </row>
    <row r="84" spans="1:3" x14ac:dyDescent="0.25">
      <c r="A84" s="2" t="s">
        <v>66</v>
      </c>
      <c r="B84" s="5">
        <v>1701</v>
      </c>
      <c r="C84" s="5">
        <v>217</v>
      </c>
    </row>
    <row r="85" spans="1:3" x14ac:dyDescent="0.25">
      <c r="A85" s="2" t="s">
        <v>67</v>
      </c>
      <c r="B85" s="5">
        <v>3110</v>
      </c>
      <c r="C85" s="5">
        <v>432</v>
      </c>
    </row>
    <row r="86" spans="1:3" x14ac:dyDescent="0.25">
      <c r="A86" s="2" t="s">
        <v>68</v>
      </c>
      <c r="B86" s="5">
        <v>4097</v>
      </c>
      <c r="C86" s="5">
        <v>728</v>
      </c>
    </row>
    <row r="87" spans="1:3" x14ac:dyDescent="0.25">
      <c r="A87" s="2" t="s">
        <v>69</v>
      </c>
      <c r="B87" s="5">
        <v>8062</v>
      </c>
      <c r="C87" s="5">
        <v>2478</v>
      </c>
    </row>
    <row r="88" spans="1:3" x14ac:dyDescent="0.25">
      <c r="A88" s="2" t="s">
        <v>70</v>
      </c>
      <c r="B88" s="5">
        <v>6072</v>
      </c>
      <c r="C88" s="5">
        <v>2125</v>
      </c>
    </row>
    <row r="89" spans="1:3" x14ac:dyDescent="0.25">
      <c r="A89" s="2" t="s">
        <v>71</v>
      </c>
      <c r="B89" s="5">
        <v>6031</v>
      </c>
      <c r="C89" s="5">
        <v>2798</v>
      </c>
    </row>
    <row r="90" spans="1:3" x14ac:dyDescent="0.25">
      <c r="A90" s="2" t="s">
        <v>72</v>
      </c>
      <c r="B90" s="5">
        <v>2521</v>
      </c>
      <c r="C90" s="5">
        <v>2065</v>
      </c>
    </row>
    <row r="97" spans="1:5" x14ac:dyDescent="0.25">
      <c r="A97" s="8" t="s">
        <v>73</v>
      </c>
    </row>
    <row r="99" spans="1:5" ht="20.100000000000001" customHeight="1" x14ac:dyDescent="0.25">
      <c r="A99" s="17" t="s">
        <v>74</v>
      </c>
      <c r="B99" s="18"/>
      <c r="C99" s="18"/>
      <c r="D99" s="18"/>
      <c r="E99" s="18"/>
    </row>
    <row r="100" spans="1:5" ht="38.25" x14ac:dyDescent="0.25">
      <c r="A100" s="1" t="s">
        <v>75</v>
      </c>
      <c r="B100" s="1" t="s">
        <v>76</v>
      </c>
      <c r="C100" s="1" t="s">
        <v>77</v>
      </c>
      <c r="D100" s="1" t="s">
        <v>78</v>
      </c>
      <c r="E100" s="1" t="s">
        <v>79</v>
      </c>
    </row>
    <row r="101" spans="1:5" x14ac:dyDescent="0.25">
      <c r="A101" s="12">
        <v>0.5</v>
      </c>
      <c r="B101" s="13">
        <v>20</v>
      </c>
      <c r="C101" s="13">
        <v>45</v>
      </c>
      <c r="D101" s="13">
        <v>76</v>
      </c>
      <c r="E101" s="13">
        <v>1000</v>
      </c>
    </row>
  </sheetData>
  <mergeCells count="21">
    <mergeCell ref="A99:E99"/>
    <mergeCell ref="G6:H6"/>
    <mergeCell ref="A80:E80"/>
    <mergeCell ref="J4:K4"/>
    <mergeCell ref="A1:M1"/>
    <mergeCell ref="A5:B5"/>
    <mergeCell ref="G5:H5"/>
    <mergeCell ref="D4:E4"/>
    <mergeCell ref="A32:E32"/>
    <mergeCell ref="A8:E8"/>
    <mergeCell ref="A4:B4"/>
    <mergeCell ref="G4:H4"/>
    <mergeCell ref="D5:E5"/>
    <mergeCell ref="A2:M2"/>
    <mergeCell ref="A48:E48"/>
    <mergeCell ref="J5:K5"/>
    <mergeCell ref="A64:E64"/>
    <mergeCell ref="A6:B6"/>
    <mergeCell ref="D6:E6"/>
    <mergeCell ref="A16:E16"/>
    <mergeCell ref="J6:K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3" width="10" customWidth="1"/>
    <col min="4" max="4" width="12" customWidth="1"/>
    <col min="5" max="5" width="10" customWidth="1"/>
    <col min="6" max="6" width="12" customWidth="1"/>
    <col min="7" max="7" width="13" customWidth="1"/>
    <col min="8" max="9" width="11" customWidth="1"/>
    <col min="10" max="10" width="38" customWidth="1"/>
  </cols>
  <sheetData>
    <row r="1" spans="1:10" ht="30" customHeight="1" x14ac:dyDescent="0.25">
      <c r="A1" s="24" t="s">
        <v>80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8" customHeight="1" x14ac:dyDescent="0.25">
      <c r="A2" s="29" t="s">
        <v>81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5.5" x14ac:dyDescent="0.25">
      <c r="A4" s="1" t="s">
        <v>82</v>
      </c>
      <c r="B4" s="1" t="s">
        <v>83</v>
      </c>
      <c r="C4" s="1" t="s">
        <v>84</v>
      </c>
      <c r="D4" s="1" t="s">
        <v>85</v>
      </c>
      <c r="E4" s="1" t="s">
        <v>86</v>
      </c>
      <c r="F4" s="1" t="s">
        <v>87</v>
      </c>
      <c r="G4" s="1" t="s">
        <v>88</v>
      </c>
      <c r="H4" s="1" t="s">
        <v>89</v>
      </c>
      <c r="I4" s="1" t="s">
        <v>90</v>
      </c>
      <c r="J4" s="1" t="s">
        <v>91</v>
      </c>
    </row>
    <row r="5" spans="1:10" x14ac:dyDescent="0.25">
      <c r="A5" s="2" t="s">
        <v>92</v>
      </c>
      <c r="B5" s="5">
        <v>3980</v>
      </c>
      <c r="C5" s="5">
        <v>1047</v>
      </c>
      <c r="D5" s="6">
        <f t="shared" ref="D5:D34" si="0">C5/B5</f>
        <v>0.26306532663316584</v>
      </c>
      <c r="E5" s="5">
        <v>118</v>
      </c>
      <c r="F5" s="6">
        <f t="shared" ref="F5:F34" si="1">E5/B5</f>
        <v>2.964824120603015E-2</v>
      </c>
      <c r="G5" s="5">
        <v>1640</v>
      </c>
      <c r="H5" s="5">
        <v>1721</v>
      </c>
      <c r="I5" s="5">
        <v>12866</v>
      </c>
      <c r="J5" s="2" t="s">
        <v>93</v>
      </c>
    </row>
    <row r="6" spans="1:10" x14ac:dyDescent="0.25">
      <c r="A6" s="2" t="s">
        <v>94</v>
      </c>
      <c r="B6" s="5">
        <v>1630</v>
      </c>
      <c r="C6" s="5">
        <v>300</v>
      </c>
      <c r="D6" s="6">
        <f t="shared" si="0"/>
        <v>0.18404907975460122</v>
      </c>
      <c r="E6" s="5">
        <v>48</v>
      </c>
      <c r="F6" s="6">
        <f t="shared" si="1"/>
        <v>2.9447852760736196E-2</v>
      </c>
      <c r="G6" s="5">
        <v>426</v>
      </c>
      <c r="H6" s="5">
        <v>559</v>
      </c>
      <c r="I6" s="5">
        <v>3944</v>
      </c>
      <c r="J6" s="2" t="s">
        <v>93</v>
      </c>
    </row>
    <row r="7" spans="1:10" x14ac:dyDescent="0.25">
      <c r="A7" s="2" t="s">
        <v>95</v>
      </c>
      <c r="B7" s="5">
        <v>720</v>
      </c>
      <c r="C7" s="5">
        <v>298</v>
      </c>
      <c r="D7" s="6">
        <f t="shared" si="0"/>
        <v>0.41388888888888886</v>
      </c>
      <c r="E7" s="5">
        <v>33</v>
      </c>
      <c r="F7" s="6">
        <f t="shared" si="1"/>
        <v>4.583333333333333E-2</v>
      </c>
      <c r="G7" s="5">
        <v>168</v>
      </c>
      <c r="H7" s="5">
        <v>198</v>
      </c>
      <c r="I7" s="5">
        <v>1911</v>
      </c>
      <c r="J7" s="2"/>
    </row>
    <row r="8" spans="1:10" x14ac:dyDescent="0.25">
      <c r="A8" s="2" t="s">
        <v>96</v>
      </c>
      <c r="B8" s="5">
        <v>639</v>
      </c>
      <c r="C8" s="5">
        <v>475</v>
      </c>
      <c r="D8" s="6">
        <f t="shared" si="0"/>
        <v>0.74334898278560246</v>
      </c>
      <c r="E8" s="5">
        <v>1</v>
      </c>
      <c r="F8" s="6">
        <f t="shared" si="1"/>
        <v>1.5649452269170579E-3</v>
      </c>
      <c r="G8" s="5">
        <v>265</v>
      </c>
      <c r="H8" s="5">
        <v>285</v>
      </c>
      <c r="I8" s="5">
        <v>2281</v>
      </c>
      <c r="J8" s="2"/>
    </row>
    <row r="9" spans="1:10" x14ac:dyDescent="0.25">
      <c r="A9" s="2" t="s">
        <v>97</v>
      </c>
      <c r="B9" s="5">
        <v>435</v>
      </c>
      <c r="C9" s="5">
        <v>416</v>
      </c>
      <c r="D9" s="6">
        <f t="shared" si="0"/>
        <v>0.95632183908045976</v>
      </c>
      <c r="E9" s="5">
        <v>420</v>
      </c>
      <c r="F9" s="6">
        <f t="shared" si="1"/>
        <v>0.96551724137931039</v>
      </c>
      <c r="G9" s="5">
        <v>39</v>
      </c>
      <c r="H9" s="5">
        <v>35</v>
      </c>
      <c r="I9" s="5">
        <v>2048</v>
      </c>
      <c r="J9" s="2" t="s">
        <v>98</v>
      </c>
    </row>
    <row r="10" spans="1:10" x14ac:dyDescent="0.25">
      <c r="A10" s="2" t="s">
        <v>99</v>
      </c>
      <c r="B10" s="5">
        <v>431</v>
      </c>
      <c r="C10" s="5">
        <v>426</v>
      </c>
      <c r="D10" s="6">
        <f t="shared" si="0"/>
        <v>0.98839907192575405</v>
      </c>
      <c r="E10" s="5">
        <v>426</v>
      </c>
      <c r="F10" s="6">
        <f t="shared" si="1"/>
        <v>0.98839907192575405</v>
      </c>
      <c r="G10" s="5">
        <v>193</v>
      </c>
      <c r="H10" s="5">
        <v>203</v>
      </c>
      <c r="I10" s="5">
        <v>939</v>
      </c>
      <c r="J10" s="2" t="s">
        <v>98</v>
      </c>
    </row>
    <row r="11" spans="1:10" x14ac:dyDescent="0.25">
      <c r="A11" s="2" t="s">
        <v>100</v>
      </c>
      <c r="B11" s="5">
        <v>374</v>
      </c>
      <c r="C11" s="5">
        <v>60</v>
      </c>
      <c r="D11" s="6">
        <f t="shared" si="0"/>
        <v>0.16042780748663102</v>
      </c>
      <c r="E11" s="5">
        <v>5</v>
      </c>
      <c r="F11" s="6">
        <f t="shared" si="1"/>
        <v>1.3368983957219251E-2</v>
      </c>
      <c r="G11" s="5">
        <v>25</v>
      </c>
      <c r="H11" s="5">
        <v>31</v>
      </c>
      <c r="I11" s="5">
        <v>891</v>
      </c>
      <c r="J11" s="2" t="s">
        <v>93</v>
      </c>
    </row>
    <row r="12" spans="1:10" x14ac:dyDescent="0.25">
      <c r="A12" s="2" t="s">
        <v>101</v>
      </c>
      <c r="B12" s="5">
        <v>272</v>
      </c>
      <c r="C12" s="5">
        <v>54</v>
      </c>
      <c r="D12" s="6">
        <f t="shared" si="0"/>
        <v>0.19852941176470587</v>
      </c>
      <c r="E12" s="5">
        <v>20</v>
      </c>
      <c r="F12" s="6">
        <f t="shared" si="1"/>
        <v>7.3529411764705885E-2</v>
      </c>
      <c r="G12" s="5">
        <v>14</v>
      </c>
      <c r="H12" s="5">
        <v>22</v>
      </c>
      <c r="I12" s="5">
        <v>782</v>
      </c>
      <c r="J12" s="2" t="s">
        <v>93</v>
      </c>
    </row>
    <row r="13" spans="1:10" x14ac:dyDescent="0.25">
      <c r="A13" s="2" t="s">
        <v>102</v>
      </c>
      <c r="B13" s="5">
        <v>244</v>
      </c>
      <c r="C13" s="5">
        <v>226</v>
      </c>
      <c r="D13" s="6">
        <f t="shared" si="0"/>
        <v>0.92622950819672134</v>
      </c>
      <c r="E13" s="5">
        <v>239</v>
      </c>
      <c r="F13" s="6">
        <f t="shared" si="1"/>
        <v>0.97950819672131151</v>
      </c>
      <c r="G13" s="5">
        <v>21</v>
      </c>
      <c r="H13" s="5">
        <v>20</v>
      </c>
      <c r="I13" s="5">
        <v>1279</v>
      </c>
      <c r="J13" s="2" t="s">
        <v>98</v>
      </c>
    </row>
    <row r="14" spans="1:10" x14ac:dyDescent="0.25">
      <c r="A14" s="2" t="s">
        <v>103</v>
      </c>
      <c r="B14" s="5">
        <v>217</v>
      </c>
      <c r="C14" s="5">
        <v>183</v>
      </c>
      <c r="D14" s="6">
        <f t="shared" si="0"/>
        <v>0.84331797235023043</v>
      </c>
      <c r="E14" s="5">
        <v>194</v>
      </c>
      <c r="F14" s="6">
        <f t="shared" si="1"/>
        <v>0.89400921658986177</v>
      </c>
      <c r="G14" s="5">
        <v>17</v>
      </c>
      <c r="H14" s="5">
        <v>24</v>
      </c>
      <c r="I14" s="5">
        <v>456</v>
      </c>
      <c r="J14" s="2"/>
    </row>
    <row r="15" spans="1:10" x14ac:dyDescent="0.25">
      <c r="A15" s="2" t="s">
        <v>104</v>
      </c>
      <c r="B15" s="5">
        <v>216</v>
      </c>
      <c r="C15" s="5">
        <v>211</v>
      </c>
      <c r="D15" s="6">
        <f t="shared" si="0"/>
        <v>0.97685185185185186</v>
      </c>
      <c r="E15" s="5">
        <v>214</v>
      </c>
      <c r="F15" s="6">
        <f t="shared" si="1"/>
        <v>0.9907407407407407</v>
      </c>
      <c r="G15" s="5">
        <v>112</v>
      </c>
      <c r="H15" s="5">
        <v>116</v>
      </c>
      <c r="I15" s="5">
        <v>473</v>
      </c>
      <c r="J15" s="2" t="s">
        <v>98</v>
      </c>
    </row>
    <row r="16" spans="1:10" x14ac:dyDescent="0.25">
      <c r="A16" s="2" t="s">
        <v>105</v>
      </c>
      <c r="B16" s="5">
        <v>198</v>
      </c>
      <c r="C16" s="5">
        <v>34</v>
      </c>
      <c r="D16" s="6">
        <f t="shared" si="0"/>
        <v>0.17171717171717171</v>
      </c>
      <c r="E16" s="5">
        <v>16</v>
      </c>
      <c r="F16" s="6">
        <f t="shared" si="1"/>
        <v>8.0808080808080815E-2</v>
      </c>
      <c r="G16" s="5">
        <v>118</v>
      </c>
      <c r="H16" s="5">
        <v>127</v>
      </c>
      <c r="I16" s="5">
        <v>707</v>
      </c>
      <c r="J16" s="2"/>
    </row>
    <row r="17" spans="1:10" x14ac:dyDescent="0.25">
      <c r="A17" s="2" t="s">
        <v>106</v>
      </c>
      <c r="B17" s="5">
        <v>173</v>
      </c>
      <c r="C17" s="5">
        <v>172</v>
      </c>
      <c r="D17" s="6">
        <f t="shared" si="0"/>
        <v>0.9942196531791907</v>
      </c>
      <c r="E17" s="5">
        <v>167</v>
      </c>
      <c r="F17" s="6">
        <f t="shared" si="1"/>
        <v>0.96531791907514453</v>
      </c>
      <c r="G17" s="5">
        <v>10</v>
      </c>
      <c r="H17" s="5">
        <v>14</v>
      </c>
      <c r="I17" s="5">
        <v>490</v>
      </c>
      <c r="J17" s="2"/>
    </row>
    <row r="18" spans="1:10" x14ac:dyDescent="0.25">
      <c r="A18" s="2" t="s">
        <v>107</v>
      </c>
      <c r="B18" s="5">
        <v>166</v>
      </c>
      <c r="C18" s="5">
        <v>62</v>
      </c>
      <c r="D18" s="6">
        <f t="shared" si="0"/>
        <v>0.37349397590361444</v>
      </c>
      <c r="E18" s="5">
        <v>23</v>
      </c>
      <c r="F18" s="6">
        <f t="shared" si="1"/>
        <v>0.13855421686746988</v>
      </c>
      <c r="G18" s="5">
        <v>5</v>
      </c>
      <c r="H18" s="5">
        <v>12</v>
      </c>
      <c r="I18" s="5">
        <v>506</v>
      </c>
      <c r="J18" s="2"/>
    </row>
    <row r="19" spans="1:10" x14ac:dyDescent="0.25">
      <c r="A19" s="2" t="s">
        <v>108</v>
      </c>
      <c r="B19" s="5">
        <v>164</v>
      </c>
      <c r="C19" s="5">
        <v>153</v>
      </c>
      <c r="D19" s="6">
        <f t="shared" si="0"/>
        <v>0.93292682926829273</v>
      </c>
      <c r="E19" s="5">
        <v>157</v>
      </c>
      <c r="F19" s="6">
        <f t="shared" si="1"/>
        <v>0.95731707317073167</v>
      </c>
      <c r="G19" s="5">
        <v>9</v>
      </c>
      <c r="H19" s="5">
        <v>9</v>
      </c>
      <c r="I19" s="5">
        <v>624</v>
      </c>
      <c r="J19" s="2"/>
    </row>
    <row r="20" spans="1:10" x14ac:dyDescent="0.25">
      <c r="A20" s="2" t="s">
        <v>109</v>
      </c>
      <c r="B20" s="5">
        <v>145</v>
      </c>
      <c r="C20" s="5">
        <v>120</v>
      </c>
      <c r="D20" s="6">
        <f t="shared" si="0"/>
        <v>0.82758620689655171</v>
      </c>
      <c r="E20" s="5">
        <v>0</v>
      </c>
      <c r="F20" s="6">
        <f t="shared" si="1"/>
        <v>0</v>
      </c>
      <c r="G20" s="5">
        <v>39</v>
      </c>
      <c r="H20" s="5">
        <v>42</v>
      </c>
      <c r="I20" s="5">
        <v>448</v>
      </c>
      <c r="J20" s="2"/>
    </row>
    <row r="21" spans="1:10" x14ac:dyDescent="0.25">
      <c r="A21" s="2" t="s">
        <v>110</v>
      </c>
      <c r="B21" s="5">
        <v>134</v>
      </c>
      <c r="C21" s="5">
        <v>33</v>
      </c>
      <c r="D21" s="6">
        <f t="shared" si="0"/>
        <v>0.2462686567164179</v>
      </c>
      <c r="E21" s="5">
        <v>1</v>
      </c>
      <c r="F21" s="6">
        <f t="shared" si="1"/>
        <v>7.462686567164179E-3</v>
      </c>
      <c r="G21" s="5">
        <v>82</v>
      </c>
      <c r="H21" s="5">
        <v>84</v>
      </c>
      <c r="I21" s="5">
        <v>224</v>
      </c>
      <c r="J21" s="2"/>
    </row>
    <row r="22" spans="1:10" x14ac:dyDescent="0.25">
      <c r="A22" s="2" t="s">
        <v>111</v>
      </c>
      <c r="B22" s="5">
        <v>122</v>
      </c>
      <c r="C22" s="5">
        <v>57</v>
      </c>
      <c r="D22" s="6">
        <f t="shared" si="0"/>
        <v>0.46721311475409838</v>
      </c>
      <c r="E22" s="5">
        <v>80</v>
      </c>
      <c r="F22" s="6">
        <f t="shared" si="1"/>
        <v>0.65573770491803274</v>
      </c>
      <c r="G22" s="5">
        <v>60</v>
      </c>
      <c r="H22" s="5">
        <v>58</v>
      </c>
      <c r="I22" s="5">
        <v>229</v>
      </c>
      <c r="J22" s="2"/>
    </row>
    <row r="23" spans="1:10" x14ac:dyDescent="0.25">
      <c r="A23" s="2" t="s">
        <v>112</v>
      </c>
      <c r="B23" s="5">
        <v>111</v>
      </c>
      <c r="C23" s="5">
        <v>54</v>
      </c>
      <c r="D23" s="6">
        <f t="shared" si="0"/>
        <v>0.48648648648648651</v>
      </c>
      <c r="E23" s="5">
        <v>1</v>
      </c>
      <c r="F23" s="6">
        <f t="shared" si="1"/>
        <v>9.0090090090090089E-3</v>
      </c>
      <c r="G23" s="5">
        <v>32</v>
      </c>
      <c r="H23" s="5">
        <v>31</v>
      </c>
      <c r="I23" s="5">
        <v>206</v>
      </c>
      <c r="J23" s="2"/>
    </row>
    <row r="24" spans="1:10" x14ac:dyDescent="0.25">
      <c r="A24" s="2" t="s">
        <v>113</v>
      </c>
      <c r="B24" s="5">
        <v>106</v>
      </c>
      <c r="C24" s="5">
        <v>106</v>
      </c>
      <c r="D24" s="6">
        <f t="shared" si="0"/>
        <v>1</v>
      </c>
      <c r="E24" s="5">
        <v>102</v>
      </c>
      <c r="F24" s="6">
        <f t="shared" si="1"/>
        <v>0.96226415094339623</v>
      </c>
      <c r="G24" s="5">
        <v>11</v>
      </c>
      <c r="H24" s="5">
        <v>10</v>
      </c>
      <c r="I24" s="5">
        <v>314</v>
      </c>
      <c r="J24" s="2"/>
    </row>
    <row r="25" spans="1:10" x14ac:dyDescent="0.25">
      <c r="A25" s="2" t="s">
        <v>114</v>
      </c>
      <c r="B25" s="5">
        <v>100</v>
      </c>
      <c r="C25" s="5">
        <v>92</v>
      </c>
      <c r="D25" s="6">
        <f t="shared" si="0"/>
        <v>0.92</v>
      </c>
      <c r="E25" s="5">
        <v>92</v>
      </c>
      <c r="F25" s="6">
        <f t="shared" si="1"/>
        <v>0.92</v>
      </c>
      <c r="G25" s="5">
        <v>10</v>
      </c>
      <c r="H25" s="5">
        <v>6</v>
      </c>
      <c r="I25" s="5">
        <v>468</v>
      </c>
      <c r="J25" s="2"/>
    </row>
    <row r="26" spans="1:10" x14ac:dyDescent="0.25">
      <c r="A26" s="2" t="s">
        <v>115</v>
      </c>
      <c r="B26" s="5">
        <v>99</v>
      </c>
      <c r="C26" s="5">
        <v>36</v>
      </c>
      <c r="D26" s="6">
        <f t="shared" si="0"/>
        <v>0.36363636363636365</v>
      </c>
      <c r="E26" s="5">
        <v>0</v>
      </c>
      <c r="F26" s="6">
        <f t="shared" si="1"/>
        <v>0</v>
      </c>
      <c r="G26" s="5">
        <v>11</v>
      </c>
      <c r="H26" s="5">
        <v>16</v>
      </c>
      <c r="I26" s="5">
        <v>401</v>
      </c>
      <c r="J26" s="2"/>
    </row>
    <row r="27" spans="1:10" x14ac:dyDescent="0.25">
      <c r="A27" s="2" t="s">
        <v>116</v>
      </c>
      <c r="B27" s="5">
        <v>85</v>
      </c>
      <c r="C27" s="5">
        <v>75</v>
      </c>
      <c r="D27" s="6">
        <f t="shared" si="0"/>
        <v>0.88235294117647056</v>
      </c>
      <c r="E27" s="5">
        <v>84</v>
      </c>
      <c r="F27" s="6">
        <f t="shared" si="1"/>
        <v>0.9882352941176471</v>
      </c>
      <c r="G27" s="5">
        <v>7</v>
      </c>
      <c r="H27" s="5">
        <v>7</v>
      </c>
      <c r="I27" s="5">
        <v>256</v>
      </c>
      <c r="J27" s="2"/>
    </row>
    <row r="28" spans="1:10" x14ac:dyDescent="0.25">
      <c r="A28" s="2" t="s">
        <v>117</v>
      </c>
      <c r="B28" s="5">
        <v>75</v>
      </c>
      <c r="C28" s="5">
        <v>52</v>
      </c>
      <c r="D28" s="6">
        <f t="shared" si="0"/>
        <v>0.69333333333333336</v>
      </c>
      <c r="E28" s="5">
        <v>0</v>
      </c>
      <c r="F28" s="6">
        <f t="shared" si="1"/>
        <v>0</v>
      </c>
      <c r="G28" s="5">
        <v>44</v>
      </c>
      <c r="H28" s="5">
        <v>45</v>
      </c>
      <c r="I28" s="5">
        <v>407</v>
      </c>
      <c r="J28" s="2"/>
    </row>
    <row r="29" spans="1:10" x14ac:dyDescent="0.25">
      <c r="A29" s="2" t="s">
        <v>118</v>
      </c>
      <c r="B29" s="5">
        <v>72</v>
      </c>
      <c r="C29" s="5">
        <v>23</v>
      </c>
      <c r="D29" s="6">
        <f t="shared" si="0"/>
        <v>0.31944444444444442</v>
      </c>
      <c r="E29" s="5">
        <v>72</v>
      </c>
      <c r="F29" s="6">
        <f t="shared" si="1"/>
        <v>1</v>
      </c>
      <c r="G29" s="5">
        <v>34</v>
      </c>
      <c r="H29" s="5">
        <v>33</v>
      </c>
      <c r="I29" s="5">
        <v>211</v>
      </c>
      <c r="J29" s="2"/>
    </row>
    <row r="30" spans="1:10" x14ac:dyDescent="0.25">
      <c r="A30" s="2" t="s">
        <v>119</v>
      </c>
      <c r="B30" s="5">
        <v>55</v>
      </c>
      <c r="C30" s="5">
        <v>53</v>
      </c>
      <c r="D30" s="6">
        <f t="shared" si="0"/>
        <v>0.96363636363636362</v>
      </c>
      <c r="E30" s="5">
        <v>54</v>
      </c>
      <c r="F30" s="6">
        <f t="shared" si="1"/>
        <v>0.98181818181818181</v>
      </c>
      <c r="G30" s="5">
        <v>17</v>
      </c>
      <c r="H30" s="5">
        <v>19</v>
      </c>
      <c r="I30" s="5">
        <v>265</v>
      </c>
      <c r="J30" s="2"/>
    </row>
    <row r="31" spans="1:10" x14ac:dyDescent="0.25">
      <c r="A31" s="2" t="s">
        <v>120</v>
      </c>
      <c r="B31" s="5">
        <v>52</v>
      </c>
      <c r="C31" s="5">
        <v>52</v>
      </c>
      <c r="D31" s="6">
        <f t="shared" si="0"/>
        <v>1</v>
      </c>
      <c r="E31" s="5">
        <v>47</v>
      </c>
      <c r="F31" s="6">
        <f t="shared" si="1"/>
        <v>0.90384615384615385</v>
      </c>
      <c r="G31" s="5">
        <v>0</v>
      </c>
      <c r="H31" s="5">
        <v>0</v>
      </c>
      <c r="I31" s="5">
        <v>155</v>
      </c>
      <c r="J31" s="2"/>
    </row>
    <row r="32" spans="1:10" x14ac:dyDescent="0.25">
      <c r="A32" s="2" t="s">
        <v>121</v>
      </c>
      <c r="B32" s="5">
        <v>51</v>
      </c>
      <c r="C32" s="5">
        <v>29</v>
      </c>
      <c r="D32" s="6">
        <f t="shared" si="0"/>
        <v>0.56862745098039214</v>
      </c>
      <c r="E32" s="5">
        <v>12</v>
      </c>
      <c r="F32" s="6">
        <f t="shared" si="1"/>
        <v>0.23529411764705882</v>
      </c>
      <c r="G32" s="5">
        <v>12</v>
      </c>
      <c r="H32" s="5">
        <v>13</v>
      </c>
      <c r="I32" s="5">
        <v>166</v>
      </c>
      <c r="J32" s="2"/>
    </row>
    <row r="33" spans="1:10" x14ac:dyDescent="0.25">
      <c r="A33" s="2" t="s">
        <v>122</v>
      </c>
      <c r="B33" s="5">
        <v>48</v>
      </c>
      <c r="C33" s="5">
        <v>2</v>
      </c>
      <c r="D33" s="6">
        <f t="shared" si="0"/>
        <v>4.1666666666666664E-2</v>
      </c>
      <c r="E33" s="5">
        <v>0</v>
      </c>
      <c r="F33" s="6">
        <f t="shared" si="1"/>
        <v>0</v>
      </c>
      <c r="G33" s="5">
        <v>3</v>
      </c>
      <c r="H33" s="5">
        <v>3</v>
      </c>
      <c r="I33" s="5">
        <v>64</v>
      </c>
      <c r="J33" s="2"/>
    </row>
    <row r="34" spans="1:10" x14ac:dyDescent="0.25">
      <c r="A34" s="2" t="s">
        <v>123</v>
      </c>
      <c r="B34" s="5">
        <v>47</v>
      </c>
      <c r="C34" s="5">
        <v>47</v>
      </c>
      <c r="D34" s="6">
        <f t="shared" si="0"/>
        <v>1</v>
      </c>
      <c r="E34" s="5">
        <v>46</v>
      </c>
      <c r="F34" s="6">
        <f t="shared" si="1"/>
        <v>0.97872340425531912</v>
      </c>
      <c r="G34" s="5">
        <v>3</v>
      </c>
      <c r="H34" s="5">
        <v>2</v>
      </c>
      <c r="I34" s="5">
        <v>263</v>
      </c>
      <c r="J34" s="2"/>
    </row>
  </sheetData>
  <mergeCells count="2">
    <mergeCell ref="A1:J1"/>
    <mergeCell ref="A2:J2"/>
  </mergeCells>
  <conditionalFormatting sqref="D5:D34">
    <cfRule type="dataBar" priority="1">
      <dataBar>
        <cfvo type="num" val="0"/>
        <cfvo type="num" val="1"/>
        <color rgb="FF2E9BA6"/>
      </dataBar>
    </cfRule>
  </conditionalFormatting>
  <conditionalFormatting sqref="F5:F34">
    <cfRule type="dataBar" priority="2">
      <dataBar>
        <cfvo type="num" val="0"/>
        <cfvo type="num" val="1"/>
        <color rgb="FF2E9BA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14" customWidth="1"/>
    <col min="3" max="3" width="10" customWidth="1"/>
    <col min="4" max="4" width="13" customWidth="1"/>
    <col min="5" max="5" width="46" customWidth="1"/>
    <col min="6" max="6" width="40" customWidth="1"/>
  </cols>
  <sheetData>
    <row r="1" spans="1:7" ht="30" customHeight="1" x14ac:dyDescent="0.25">
      <c r="A1" s="24" t="s">
        <v>124</v>
      </c>
      <c r="B1" s="18"/>
      <c r="C1" s="18"/>
      <c r="D1" s="18"/>
      <c r="E1" s="18"/>
      <c r="F1" s="18"/>
      <c r="G1" s="18"/>
    </row>
    <row r="2" spans="1:7" ht="18" customHeight="1" x14ac:dyDescent="0.25">
      <c r="A2" s="29" t="s">
        <v>125</v>
      </c>
      <c r="B2" s="18"/>
      <c r="C2" s="18"/>
      <c r="D2" s="18"/>
      <c r="E2" s="18"/>
      <c r="F2" s="18"/>
      <c r="G2" s="18"/>
    </row>
    <row r="4" spans="1:7" ht="25.5" x14ac:dyDescent="0.25">
      <c r="A4" s="1" t="s">
        <v>126</v>
      </c>
      <c r="B4" s="1" t="s">
        <v>127</v>
      </c>
      <c r="C4" s="1" t="s">
        <v>83</v>
      </c>
      <c r="D4" s="1" t="s">
        <v>128</v>
      </c>
      <c r="E4" s="1" t="s">
        <v>129</v>
      </c>
      <c r="F4" s="1" t="s">
        <v>130</v>
      </c>
    </row>
    <row r="5" spans="1:7" x14ac:dyDescent="0.25">
      <c r="A5" s="2" t="s">
        <v>18</v>
      </c>
      <c r="B5" s="5">
        <v>16988</v>
      </c>
      <c r="C5" s="5">
        <v>5349</v>
      </c>
      <c r="D5" s="5">
        <v>6038</v>
      </c>
      <c r="E5" s="2" t="s">
        <v>131</v>
      </c>
      <c r="F5" s="2" t="s">
        <v>132</v>
      </c>
    </row>
    <row r="6" spans="1:7" x14ac:dyDescent="0.25">
      <c r="A6" s="2" t="s">
        <v>21</v>
      </c>
      <c r="B6" s="5">
        <v>10017</v>
      </c>
      <c r="C6" s="5">
        <v>3050</v>
      </c>
      <c r="D6" s="5">
        <v>476</v>
      </c>
      <c r="E6" s="2" t="s">
        <v>133</v>
      </c>
      <c r="F6" s="2" t="s">
        <v>134</v>
      </c>
    </row>
    <row r="7" spans="1:7" x14ac:dyDescent="0.25">
      <c r="A7" s="2" t="s">
        <v>135</v>
      </c>
      <c r="B7" s="5">
        <v>221</v>
      </c>
      <c r="C7" s="5">
        <v>107</v>
      </c>
      <c r="D7" s="5">
        <v>668</v>
      </c>
      <c r="E7" s="2" t="s">
        <v>136</v>
      </c>
      <c r="F7" s="2" t="s">
        <v>137</v>
      </c>
    </row>
    <row r="8" spans="1:7" x14ac:dyDescent="0.25">
      <c r="A8" s="2" t="s">
        <v>138</v>
      </c>
      <c r="B8" s="5">
        <v>27</v>
      </c>
      <c r="C8" s="5">
        <v>24</v>
      </c>
      <c r="D8" s="5">
        <v>51</v>
      </c>
      <c r="E8" s="2" t="s">
        <v>139</v>
      </c>
      <c r="F8" s="2" t="s">
        <v>140</v>
      </c>
    </row>
    <row r="9" spans="1:7" x14ac:dyDescent="0.25">
      <c r="A9" s="2" t="s">
        <v>141</v>
      </c>
      <c r="B9" s="5">
        <v>25</v>
      </c>
      <c r="C9" s="5">
        <v>23</v>
      </c>
      <c r="D9" s="5">
        <v>17</v>
      </c>
      <c r="E9" s="2" t="s">
        <v>142</v>
      </c>
      <c r="F9" s="2" t="s">
        <v>143</v>
      </c>
    </row>
    <row r="10" spans="1:7" x14ac:dyDescent="0.25">
      <c r="A10" s="2" t="s">
        <v>144</v>
      </c>
      <c r="B10" s="5">
        <v>7</v>
      </c>
      <c r="C10" s="5">
        <v>4</v>
      </c>
      <c r="D10" s="5">
        <v>18</v>
      </c>
      <c r="E10" s="2" t="s">
        <v>145</v>
      </c>
      <c r="F10" s="2" t="s">
        <v>146</v>
      </c>
    </row>
    <row r="11" spans="1:7" x14ac:dyDescent="0.25">
      <c r="A11" s="2" t="s">
        <v>147</v>
      </c>
      <c r="B11" s="5">
        <v>6</v>
      </c>
      <c r="C11" s="5">
        <v>3</v>
      </c>
      <c r="D11" s="5">
        <v>20</v>
      </c>
      <c r="E11" s="2" t="s">
        <v>148</v>
      </c>
      <c r="F11" s="2" t="s">
        <v>149</v>
      </c>
    </row>
    <row r="12" spans="1:7" x14ac:dyDescent="0.25">
      <c r="A12" s="2" t="s">
        <v>150</v>
      </c>
      <c r="B12" s="5">
        <v>5</v>
      </c>
      <c r="C12" s="5">
        <v>4</v>
      </c>
      <c r="D12" s="5">
        <v>4</v>
      </c>
      <c r="E12" s="2" t="s">
        <v>151</v>
      </c>
      <c r="F12" s="2" t="s">
        <v>152</v>
      </c>
    </row>
    <row r="13" spans="1:7" x14ac:dyDescent="0.25">
      <c r="A13" s="2" t="s">
        <v>153</v>
      </c>
      <c r="B13" s="5">
        <v>5</v>
      </c>
      <c r="C13" s="5">
        <v>4</v>
      </c>
      <c r="D13" s="5">
        <v>15</v>
      </c>
      <c r="E13" s="2" t="s">
        <v>154</v>
      </c>
      <c r="F13" s="2" t="s">
        <v>155</v>
      </c>
    </row>
    <row r="14" spans="1:7" x14ac:dyDescent="0.25">
      <c r="A14" s="2" t="s">
        <v>156</v>
      </c>
      <c r="B14" s="5">
        <v>3</v>
      </c>
      <c r="C14" s="5">
        <v>3</v>
      </c>
      <c r="D14" s="5">
        <v>15</v>
      </c>
      <c r="E14" s="2" t="s">
        <v>157</v>
      </c>
      <c r="F14" s="2" t="s">
        <v>158</v>
      </c>
    </row>
    <row r="15" spans="1:7" x14ac:dyDescent="0.25">
      <c r="A15" s="2" t="s">
        <v>159</v>
      </c>
      <c r="B15" s="5">
        <v>2</v>
      </c>
      <c r="C15" s="5">
        <v>1</v>
      </c>
      <c r="D15" s="5">
        <v>6</v>
      </c>
      <c r="E15" s="2" t="s">
        <v>160</v>
      </c>
      <c r="F15" s="2" t="s">
        <v>158</v>
      </c>
    </row>
    <row r="16" spans="1:7" x14ac:dyDescent="0.25">
      <c r="A16" s="2" t="s">
        <v>50</v>
      </c>
      <c r="B16" s="5">
        <v>2</v>
      </c>
      <c r="C16" s="5">
        <v>0</v>
      </c>
      <c r="D16" s="5">
        <v>14</v>
      </c>
      <c r="E16" s="2" t="s">
        <v>161</v>
      </c>
      <c r="F16" s="2" t="s">
        <v>158</v>
      </c>
    </row>
    <row r="17" spans="1:6" x14ac:dyDescent="0.25">
      <c r="A17" s="2" t="s">
        <v>162</v>
      </c>
      <c r="B17" s="5">
        <v>1</v>
      </c>
      <c r="C17" s="5">
        <v>0</v>
      </c>
      <c r="D17" s="5">
        <v>1</v>
      </c>
      <c r="E17" s="2" t="s">
        <v>163</v>
      </c>
      <c r="F17" s="2" t="s">
        <v>158</v>
      </c>
    </row>
    <row r="18" spans="1:6" x14ac:dyDescent="0.25">
      <c r="A18" s="2" t="s">
        <v>164</v>
      </c>
      <c r="B18" s="5">
        <v>1</v>
      </c>
      <c r="C18" s="5">
        <v>1</v>
      </c>
      <c r="D18" s="5">
        <v>2</v>
      </c>
      <c r="E18" s="2" t="s">
        <v>165</v>
      </c>
      <c r="F18" s="2" t="s">
        <v>158</v>
      </c>
    </row>
    <row r="19" spans="1:6" x14ac:dyDescent="0.25">
      <c r="A19" s="2" t="s">
        <v>166</v>
      </c>
      <c r="B19" s="5">
        <v>1</v>
      </c>
      <c r="C19" s="5">
        <v>0</v>
      </c>
      <c r="D19" s="5">
        <v>2</v>
      </c>
      <c r="E19" s="2" t="s">
        <v>167</v>
      </c>
      <c r="F19" s="2" t="s">
        <v>158</v>
      </c>
    </row>
    <row r="20" spans="1:6" x14ac:dyDescent="0.25">
      <c r="A20" s="2" t="s">
        <v>168</v>
      </c>
      <c r="B20" s="5">
        <v>1</v>
      </c>
      <c r="C20" s="5">
        <v>0</v>
      </c>
      <c r="D20" s="5">
        <v>3</v>
      </c>
      <c r="E20" s="2" t="s">
        <v>169</v>
      </c>
      <c r="F20" s="2" t="s">
        <v>158</v>
      </c>
    </row>
    <row r="21" spans="1:6" x14ac:dyDescent="0.25">
      <c r="A21" s="2" t="s">
        <v>170</v>
      </c>
      <c r="B21" s="5">
        <v>1</v>
      </c>
      <c r="C21" s="5">
        <v>1</v>
      </c>
      <c r="D21" s="5">
        <v>21</v>
      </c>
      <c r="E21" s="2" t="s">
        <v>171</v>
      </c>
      <c r="F21" s="2" t="s">
        <v>158</v>
      </c>
    </row>
    <row r="22" spans="1:6" x14ac:dyDescent="0.25">
      <c r="A22" s="2" t="s">
        <v>172</v>
      </c>
      <c r="B22" s="5">
        <v>1</v>
      </c>
      <c r="C22" s="5">
        <v>0</v>
      </c>
      <c r="D22" s="5">
        <v>3</v>
      </c>
      <c r="E22" s="2" t="s">
        <v>173</v>
      </c>
      <c r="F22" s="2" t="s">
        <v>158</v>
      </c>
    </row>
    <row r="23" spans="1:6" x14ac:dyDescent="0.25">
      <c r="A23" s="2" t="s">
        <v>174</v>
      </c>
      <c r="B23" s="5">
        <v>1</v>
      </c>
      <c r="C23" s="5">
        <v>1</v>
      </c>
      <c r="D23" s="5">
        <v>5</v>
      </c>
      <c r="E23" s="2" t="s">
        <v>175</v>
      </c>
      <c r="F23" s="2" t="s">
        <v>158</v>
      </c>
    </row>
    <row r="24" spans="1:6" x14ac:dyDescent="0.25">
      <c r="A24" s="2" t="s">
        <v>176</v>
      </c>
      <c r="B24" s="5">
        <v>1</v>
      </c>
      <c r="C24" s="5">
        <v>0</v>
      </c>
      <c r="D24" s="5">
        <v>3</v>
      </c>
      <c r="E24" s="2" t="s">
        <v>177</v>
      </c>
      <c r="F24" s="2" t="s">
        <v>158</v>
      </c>
    </row>
    <row r="25" spans="1:6" x14ac:dyDescent="0.25">
      <c r="A25" s="2" t="s">
        <v>178</v>
      </c>
      <c r="B25" s="5">
        <v>1</v>
      </c>
      <c r="C25" s="5">
        <v>0</v>
      </c>
      <c r="D25" s="5">
        <v>1</v>
      </c>
      <c r="E25" s="2" t="s">
        <v>179</v>
      </c>
      <c r="F25" s="2" t="s">
        <v>158</v>
      </c>
    </row>
    <row r="26" spans="1:6" x14ac:dyDescent="0.25">
      <c r="A26" s="2" t="s">
        <v>180</v>
      </c>
      <c r="B26" s="5">
        <v>1</v>
      </c>
      <c r="C26" s="5">
        <v>0</v>
      </c>
      <c r="D26" s="5">
        <v>1</v>
      </c>
      <c r="E26" s="2" t="s">
        <v>181</v>
      </c>
      <c r="F26" s="2" t="s">
        <v>158</v>
      </c>
    </row>
    <row r="27" spans="1:6" x14ac:dyDescent="0.25">
      <c r="A27" s="2" t="s">
        <v>182</v>
      </c>
      <c r="B27" s="5">
        <v>1</v>
      </c>
      <c r="C27" s="5">
        <v>1</v>
      </c>
      <c r="D27" s="5">
        <v>4</v>
      </c>
      <c r="E27" s="2" t="s">
        <v>183</v>
      </c>
      <c r="F27" s="2" t="s">
        <v>158</v>
      </c>
    </row>
    <row r="28" spans="1:6" x14ac:dyDescent="0.25">
      <c r="A28" s="2" t="s">
        <v>184</v>
      </c>
      <c r="B28" s="5">
        <v>1</v>
      </c>
      <c r="C28" s="5">
        <v>1</v>
      </c>
      <c r="D28" s="5">
        <v>6</v>
      </c>
      <c r="E28" s="2" t="s">
        <v>185</v>
      </c>
      <c r="F28" s="2" t="s">
        <v>158</v>
      </c>
    </row>
    <row r="29" spans="1:6" x14ac:dyDescent="0.25">
      <c r="A29" s="2" t="s">
        <v>186</v>
      </c>
      <c r="B29" s="5">
        <v>1</v>
      </c>
      <c r="C29" s="5">
        <v>0</v>
      </c>
      <c r="D29" s="5">
        <v>1</v>
      </c>
      <c r="E29" s="2" t="s">
        <v>187</v>
      </c>
      <c r="F29" s="2" t="s">
        <v>158</v>
      </c>
    </row>
    <row r="30" spans="1:6" x14ac:dyDescent="0.25">
      <c r="A30" s="2" t="s">
        <v>188</v>
      </c>
      <c r="B30" s="5">
        <v>1</v>
      </c>
      <c r="C30" s="5">
        <v>0</v>
      </c>
      <c r="D30" s="5">
        <v>1</v>
      </c>
      <c r="E30" s="2" t="s">
        <v>189</v>
      </c>
      <c r="F30" s="2" t="s">
        <v>158</v>
      </c>
    </row>
    <row r="31" spans="1:6" x14ac:dyDescent="0.25">
      <c r="A31" s="2" t="s">
        <v>190</v>
      </c>
      <c r="B31" s="5">
        <v>1</v>
      </c>
      <c r="C31" s="5">
        <v>0</v>
      </c>
      <c r="D31" s="5">
        <v>1</v>
      </c>
      <c r="E31" s="2" t="s">
        <v>191</v>
      </c>
      <c r="F31" s="2" t="s">
        <v>158</v>
      </c>
    </row>
    <row r="32" spans="1:6" x14ac:dyDescent="0.25">
      <c r="A32" s="2" t="s">
        <v>192</v>
      </c>
      <c r="B32" s="5">
        <v>1</v>
      </c>
      <c r="C32" s="5">
        <v>1</v>
      </c>
      <c r="D32" s="5">
        <v>4</v>
      </c>
      <c r="E32" s="2" t="s">
        <v>193</v>
      </c>
      <c r="F32" s="2" t="s">
        <v>158</v>
      </c>
    </row>
    <row r="33" spans="1:6" x14ac:dyDescent="0.25">
      <c r="A33" s="2" t="s">
        <v>194</v>
      </c>
      <c r="B33" s="5">
        <v>1</v>
      </c>
      <c r="C33" s="5">
        <v>0</v>
      </c>
      <c r="D33" s="5">
        <v>4</v>
      </c>
      <c r="E33" s="2" t="s">
        <v>195</v>
      </c>
      <c r="F33" s="2" t="s">
        <v>158</v>
      </c>
    </row>
    <row r="34" spans="1:6" x14ac:dyDescent="0.25">
      <c r="A34" s="2" t="s">
        <v>196</v>
      </c>
      <c r="B34" s="5">
        <v>1</v>
      </c>
      <c r="C34" s="5">
        <v>0</v>
      </c>
      <c r="D34" s="5">
        <v>2</v>
      </c>
      <c r="E34" s="2" t="s">
        <v>197</v>
      </c>
      <c r="F34" s="2" t="s">
        <v>158</v>
      </c>
    </row>
    <row r="35" spans="1:6" x14ac:dyDescent="0.25">
      <c r="A35" s="2" t="s">
        <v>198</v>
      </c>
      <c r="B35" s="5">
        <v>1</v>
      </c>
      <c r="C35" s="5">
        <v>1</v>
      </c>
      <c r="D35" s="5">
        <v>5</v>
      </c>
      <c r="E35" s="2" t="s">
        <v>199</v>
      </c>
      <c r="F35" s="2" t="s">
        <v>158</v>
      </c>
    </row>
    <row r="36" spans="1:6" x14ac:dyDescent="0.25">
      <c r="A36" s="2" t="s">
        <v>200</v>
      </c>
      <c r="B36" s="5">
        <v>1</v>
      </c>
      <c r="C36" s="5">
        <v>1</v>
      </c>
      <c r="D36" s="5">
        <v>1</v>
      </c>
      <c r="E36" s="2" t="s">
        <v>201</v>
      </c>
      <c r="F36" s="2" t="s">
        <v>158</v>
      </c>
    </row>
    <row r="37" spans="1:6" x14ac:dyDescent="0.25">
      <c r="A37" s="2" t="s">
        <v>202</v>
      </c>
      <c r="B37" s="5">
        <v>1</v>
      </c>
      <c r="C37" s="5">
        <v>1</v>
      </c>
      <c r="D37" s="5">
        <v>2</v>
      </c>
      <c r="E37" s="2" t="s">
        <v>203</v>
      </c>
      <c r="F37" s="2" t="s">
        <v>158</v>
      </c>
    </row>
    <row r="38" spans="1:6" x14ac:dyDescent="0.25">
      <c r="A38" s="2" t="s">
        <v>204</v>
      </c>
      <c r="B38" s="5">
        <v>1</v>
      </c>
      <c r="C38" s="5">
        <v>1</v>
      </c>
      <c r="D38" s="5">
        <v>7</v>
      </c>
      <c r="E38" s="2" t="s">
        <v>205</v>
      </c>
      <c r="F38" s="2" t="s">
        <v>158</v>
      </c>
    </row>
    <row r="39" spans="1:6" x14ac:dyDescent="0.25">
      <c r="A39" s="2" t="s">
        <v>206</v>
      </c>
      <c r="B39" s="5">
        <v>1</v>
      </c>
      <c r="C39" s="5">
        <v>1</v>
      </c>
      <c r="D39" s="5">
        <v>4</v>
      </c>
      <c r="E39" s="2" t="s">
        <v>207</v>
      </c>
      <c r="F39" s="2" t="s">
        <v>158</v>
      </c>
    </row>
    <row r="40" spans="1:6" x14ac:dyDescent="0.25">
      <c r="A40" s="2" t="s">
        <v>208</v>
      </c>
      <c r="B40" s="5">
        <v>1</v>
      </c>
      <c r="C40" s="5">
        <v>1</v>
      </c>
      <c r="D40" s="5">
        <v>2</v>
      </c>
      <c r="E40" s="2" t="s">
        <v>209</v>
      </c>
      <c r="F40" s="2" t="s">
        <v>158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24" customWidth="1"/>
  </cols>
  <sheetData>
    <row r="1" spans="1:5" ht="30" customHeight="1" x14ac:dyDescent="0.25">
      <c r="A1" s="24" t="s">
        <v>210</v>
      </c>
      <c r="B1" s="18"/>
      <c r="C1" s="18"/>
      <c r="D1" s="18"/>
      <c r="E1" s="18"/>
    </row>
    <row r="2" spans="1:5" ht="18" customHeight="1" x14ac:dyDescent="0.25">
      <c r="A2" s="29" t="s">
        <v>211</v>
      </c>
      <c r="B2" s="18"/>
      <c r="C2" s="18"/>
      <c r="D2" s="18"/>
      <c r="E2" s="18"/>
    </row>
    <row r="4" spans="1:5" ht="25.5" x14ac:dyDescent="0.25">
      <c r="A4" s="1" t="s">
        <v>212</v>
      </c>
      <c r="B4" s="1" t="s">
        <v>213</v>
      </c>
      <c r="C4" s="1" t="s">
        <v>214</v>
      </c>
      <c r="D4" s="1" t="s">
        <v>215</v>
      </c>
    </row>
    <row r="5" spans="1:5" x14ac:dyDescent="0.25">
      <c r="A5" s="2">
        <v>1</v>
      </c>
      <c r="B5" s="2" t="s">
        <v>50</v>
      </c>
      <c r="C5" s="5">
        <v>1203</v>
      </c>
      <c r="D5" s="6">
        <f t="shared" ref="D5:D36" si="0">C5/5353</f>
        <v>0.22473379413413039</v>
      </c>
    </row>
    <row r="6" spans="1:5" x14ac:dyDescent="0.25">
      <c r="A6" s="2">
        <v>2</v>
      </c>
      <c r="B6" s="2" t="s">
        <v>51</v>
      </c>
      <c r="C6" s="5">
        <v>477</v>
      </c>
      <c r="D6" s="6">
        <f t="shared" si="0"/>
        <v>8.9108910891089105E-2</v>
      </c>
    </row>
    <row r="7" spans="1:5" x14ac:dyDescent="0.25">
      <c r="A7" s="2">
        <v>3</v>
      </c>
      <c r="B7" s="2" t="s">
        <v>52</v>
      </c>
      <c r="C7" s="5">
        <v>459</v>
      </c>
      <c r="D7" s="6">
        <f t="shared" si="0"/>
        <v>8.5746310480104615E-2</v>
      </c>
    </row>
    <row r="8" spans="1:5" x14ac:dyDescent="0.25">
      <c r="A8" s="2">
        <v>4</v>
      </c>
      <c r="B8" s="2" t="s">
        <v>53</v>
      </c>
      <c r="C8" s="5">
        <v>435</v>
      </c>
      <c r="D8" s="6">
        <f t="shared" si="0"/>
        <v>8.1262843265458615E-2</v>
      </c>
    </row>
    <row r="9" spans="1:5" x14ac:dyDescent="0.25">
      <c r="A9" s="2">
        <v>5</v>
      </c>
      <c r="B9" s="2" t="s">
        <v>54</v>
      </c>
      <c r="C9" s="5">
        <v>339</v>
      </c>
      <c r="D9" s="6">
        <f t="shared" si="0"/>
        <v>6.3328974406874655E-2</v>
      </c>
    </row>
    <row r="10" spans="1:5" x14ac:dyDescent="0.25">
      <c r="A10" s="2">
        <v>6</v>
      </c>
      <c r="B10" s="2" t="s">
        <v>55</v>
      </c>
      <c r="C10" s="5">
        <v>338</v>
      </c>
      <c r="D10" s="6">
        <f t="shared" si="0"/>
        <v>6.3142163272931068E-2</v>
      </c>
    </row>
    <row r="11" spans="1:5" x14ac:dyDescent="0.25">
      <c r="A11" s="2">
        <v>7</v>
      </c>
      <c r="B11" s="2" t="s">
        <v>56</v>
      </c>
      <c r="C11" s="5">
        <v>323</v>
      </c>
      <c r="D11" s="6">
        <f t="shared" si="0"/>
        <v>6.0339996263777319E-2</v>
      </c>
    </row>
    <row r="12" spans="1:5" x14ac:dyDescent="0.25">
      <c r="A12" s="2">
        <v>8</v>
      </c>
      <c r="B12" s="2" t="s">
        <v>57</v>
      </c>
      <c r="C12" s="5">
        <v>317</v>
      </c>
      <c r="D12" s="6">
        <f t="shared" si="0"/>
        <v>5.9219129460115823E-2</v>
      </c>
    </row>
    <row r="13" spans="1:5" x14ac:dyDescent="0.25">
      <c r="A13" s="2">
        <v>9</v>
      </c>
      <c r="B13" s="2" t="s">
        <v>216</v>
      </c>
      <c r="C13" s="5">
        <v>242</v>
      </c>
      <c r="D13" s="6">
        <f t="shared" si="0"/>
        <v>4.5208294414347094E-2</v>
      </c>
    </row>
    <row r="14" spans="1:5" x14ac:dyDescent="0.25">
      <c r="A14" s="2">
        <v>10</v>
      </c>
      <c r="B14" s="2" t="s">
        <v>217</v>
      </c>
      <c r="C14" s="5">
        <v>177</v>
      </c>
      <c r="D14" s="6">
        <f t="shared" si="0"/>
        <v>3.3065570708014198E-2</v>
      </c>
    </row>
    <row r="15" spans="1:5" x14ac:dyDescent="0.25">
      <c r="A15" s="2">
        <v>11</v>
      </c>
      <c r="B15" s="2" t="s">
        <v>218</v>
      </c>
      <c r="C15" s="5">
        <v>174</v>
      </c>
      <c r="D15" s="6">
        <f t="shared" si="0"/>
        <v>3.250513730618345E-2</v>
      </c>
    </row>
    <row r="16" spans="1:5" x14ac:dyDescent="0.25">
      <c r="A16" s="2">
        <v>12</v>
      </c>
      <c r="B16" s="2" t="s">
        <v>219</v>
      </c>
      <c r="C16" s="5">
        <v>163</v>
      </c>
      <c r="D16" s="6">
        <f t="shared" si="0"/>
        <v>3.0450214832804034E-2</v>
      </c>
    </row>
    <row r="17" spans="1:4" x14ac:dyDescent="0.25">
      <c r="A17" s="2">
        <v>13</v>
      </c>
      <c r="B17" s="2" t="s">
        <v>220</v>
      </c>
      <c r="C17" s="5">
        <v>161</v>
      </c>
      <c r="D17" s="6">
        <f t="shared" si="0"/>
        <v>3.0076592564916869E-2</v>
      </c>
    </row>
    <row r="18" spans="1:4" x14ac:dyDescent="0.25">
      <c r="A18" s="2">
        <v>14</v>
      </c>
      <c r="B18" s="2" t="s">
        <v>221</v>
      </c>
      <c r="C18" s="5">
        <v>156</v>
      </c>
      <c r="D18" s="6">
        <f t="shared" si="0"/>
        <v>2.9142536895198953E-2</v>
      </c>
    </row>
    <row r="19" spans="1:4" x14ac:dyDescent="0.25">
      <c r="A19" s="2">
        <v>15</v>
      </c>
      <c r="B19" s="2" t="s">
        <v>222</v>
      </c>
      <c r="C19" s="5">
        <v>134</v>
      </c>
      <c r="D19" s="6">
        <f t="shared" si="0"/>
        <v>2.5032691948440128E-2</v>
      </c>
    </row>
    <row r="20" spans="1:4" x14ac:dyDescent="0.25">
      <c r="A20" s="2">
        <v>16</v>
      </c>
      <c r="B20" s="2" t="s">
        <v>223</v>
      </c>
      <c r="C20" s="5">
        <v>99</v>
      </c>
      <c r="D20" s="6">
        <f t="shared" si="0"/>
        <v>1.8494302260414722E-2</v>
      </c>
    </row>
    <row r="21" spans="1:4" x14ac:dyDescent="0.25">
      <c r="A21" s="2">
        <v>17</v>
      </c>
      <c r="B21" s="2" t="s">
        <v>224</v>
      </c>
      <c r="C21" s="5">
        <v>94</v>
      </c>
      <c r="D21" s="6">
        <f t="shared" si="0"/>
        <v>1.7560246590696806E-2</v>
      </c>
    </row>
    <row r="22" spans="1:4" x14ac:dyDescent="0.25">
      <c r="A22" s="2">
        <v>18</v>
      </c>
      <c r="B22" s="2" t="s">
        <v>225</v>
      </c>
      <c r="C22" s="5">
        <v>89</v>
      </c>
      <c r="D22" s="6">
        <f t="shared" si="0"/>
        <v>1.6626190920978889E-2</v>
      </c>
    </row>
    <row r="23" spans="1:4" x14ac:dyDescent="0.25">
      <c r="A23" s="2">
        <v>19</v>
      </c>
      <c r="B23" s="2" t="s">
        <v>226</v>
      </c>
      <c r="C23" s="5">
        <v>83</v>
      </c>
      <c r="D23" s="6">
        <f t="shared" si="0"/>
        <v>1.5505324117317393E-2</v>
      </c>
    </row>
    <row r="24" spans="1:4" x14ac:dyDescent="0.25">
      <c r="A24" s="2">
        <v>20</v>
      </c>
      <c r="B24" s="2" t="s">
        <v>227</v>
      </c>
      <c r="C24" s="5">
        <v>80</v>
      </c>
      <c r="D24" s="6">
        <f t="shared" si="0"/>
        <v>1.4944890715486643E-2</v>
      </c>
    </row>
    <row r="25" spans="1:4" x14ac:dyDescent="0.25">
      <c r="A25" s="2">
        <v>21</v>
      </c>
      <c r="B25" s="2" t="s">
        <v>228</v>
      </c>
      <c r="C25" s="5">
        <v>74</v>
      </c>
      <c r="D25" s="6">
        <f t="shared" si="0"/>
        <v>1.3824023911825144E-2</v>
      </c>
    </row>
    <row r="26" spans="1:4" x14ac:dyDescent="0.25">
      <c r="A26" s="2">
        <v>22</v>
      </c>
      <c r="B26" s="2" t="s">
        <v>229</v>
      </c>
      <c r="C26" s="5">
        <v>72</v>
      </c>
      <c r="D26" s="6">
        <f t="shared" si="0"/>
        <v>1.3450401643937978E-2</v>
      </c>
    </row>
    <row r="27" spans="1:4" x14ac:dyDescent="0.25">
      <c r="A27" s="2">
        <v>23</v>
      </c>
      <c r="B27" s="2" t="s">
        <v>230</v>
      </c>
      <c r="C27" s="5">
        <v>72</v>
      </c>
      <c r="D27" s="6">
        <f t="shared" si="0"/>
        <v>1.3450401643937978E-2</v>
      </c>
    </row>
    <row r="28" spans="1:4" x14ac:dyDescent="0.25">
      <c r="A28" s="2">
        <v>24</v>
      </c>
      <c r="B28" s="2" t="s">
        <v>231</v>
      </c>
      <c r="C28" s="5">
        <v>70</v>
      </c>
      <c r="D28" s="6">
        <f t="shared" si="0"/>
        <v>1.3076779376050812E-2</v>
      </c>
    </row>
    <row r="29" spans="1:4" x14ac:dyDescent="0.25">
      <c r="A29" s="2">
        <v>25</v>
      </c>
      <c r="B29" s="2" t="s">
        <v>232</v>
      </c>
      <c r="C29" s="5">
        <v>63</v>
      </c>
      <c r="D29" s="6">
        <f t="shared" si="0"/>
        <v>1.1769101438445732E-2</v>
      </c>
    </row>
    <row r="30" spans="1:4" x14ac:dyDescent="0.25">
      <c r="A30" s="2">
        <v>26</v>
      </c>
      <c r="B30" s="2" t="s">
        <v>233</v>
      </c>
      <c r="C30" s="5">
        <v>62</v>
      </c>
      <c r="D30" s="6">
        <f t="shared" si="0"/>
        <v>1.1582290304502148E-2</v>
      </c>
    </row>
    <row r="31" spans="1:4" x14ac:dyDescent="0.25">
      <c r="A31" s="2">
        <v>27</v>
      </c>
      <c r="B31" s="2" t="s">
        <v>188</v>
      </c>
      <c r="C31" s="5">
        <v>58</v>
      </c>
      <c r="D31" s="6">
        <f t="shared" si="0"/>
        <v>1.0835045768727816E-2</v>
      </c>
    </row>
    <row r="32" spans="1:4" x14ac:dyDescent="0.25">
      <c r="A32" s="2">
        <v>28</v>
      </c>
      <c r="B32" s="2" t="s">
        <v>234</v>
      </c>
      <c r="C32" s="5">
        <v>58</v>
      </c>
      <c r="D32" s="6">
        <f t="shared" si="0"/>
        <v>1.0835045768727816E-2</v>
      </c>
    </row>
    <row r="33" spans="1:4" x14ac:dyDescent="0.25">
      <c r="A33" s="2">
        <v>29</v>
      </c>
      <c r="B33" s="2" t="s">
        <v>235</v>
      </c>
      <c r="C33" s="5">
        <v>55</v>
      </c>
      <c r="D33" s="6">
        <f t="shared" si="0"/>
        <v>1.0274612366897067E-2</v>
      </c>
    </row>
    <row r="34" spans="1:4" x14ac:dyDescent="0.25">
      <c r="A34" s="2">
        <v>30</v>
      </c>
      <c r="B34" s="2" t="s">
        <v>236</v>
      </c>
      <c r="C34" s="5">
        <v>55</v>
      </c>
      <c r="D34" s="6">
        <f t="shared" si="0"/>
        <v>1.0274612366897067E-2</v>
      </c>
    </row>
    <row r="35" spans="1:4" x14ac:dyDescent="0.25">
      <c r="A35" s="2">
        <v>31</v>
      </c>
      <c r="B35" s="2" t="s">
        <v>237</v>
      </c>
      <c r="C35" s="5">
        <v>55</v>
      </c>
      <c r="D35" s="6">
        <f t="shared" si="0"/>
        <v>1.0274612366897067E-2</v>
      </c>
    </row>
    <row r="36" spans="1:4" x14ac:dyDescent="0.25">
      <c r="A36" s="2">
        <v>32</v>
      </c>
      <c r="B36" s="2" t="s">
        <v>238</v>
      </c>
      <c r="C36" s="5">
        <v>53</v>
      </c>
      <c r="D36" s="6">
        <f t="shared" si="0"/>
        <v>9.9009900990099011E-3</v>
      </c>
    </row>
    <row r="37" spans="1:4" x14ac:dyDescent="0.25">
      <c r="A37" s="2">
        <v>33</v>
      </c>
      <c r="B37" s="2" t="s">
        <v>239</v>
      </c>
      <c r="C37" s="5">
        <v>51</v>
      </c>
      <c r="D37" s="6">
        <f t="shared" ref="D37:D68" si="1">C37/5353</f>
        <v>9.527367831122735E-3</v>
      </c>
    </row>
    <row r="38" spans="1:4" x14ac:dyDescent="0.25">
      <c r="A38" s="2">
        <v>34</v>
      </c>
      <c r="B38" s="2" t="s">
        <v>240</v>
      </c>
      <c r="C38" s="5">
        <v>50</v>
      </c>
      <c r="D38" s="6">
        <f t="shared" si="1"/>
        <v>9.3405566971791511E-3</v>
      </c>
    </row>
    <row r="39" spans="1:4" x14ac:dyDescent="0.25">
      <c r="A39" s="2">
        <v>35</v>
      </c>
      <c r="B39" s="2" t="s">
        <v>241</v>
      </c>
      <c r="C39" s="5">
        <v>49</v>
      </c>
      <c r="D39" s="6">
        <f t="shared" si="1"/>
        <v>9.1537455632355689E-3</v>
      </c>
    </row>
    <row r="40" spans="1:4" x14ac:dyDescent="0.25">
      <c r="A40" s="2">
        <v>36</v>
      </c>
      <c r="B40" s="2" t="s">
        <v>242</v>
      </c>
      <c r="C40" s="5">
        <v>48</v>
      </c>
      <c r="D40" s="6">
        <f t="shared" si="1"/>
        <v>8.966934429291985E-3</v>
      </c>
    </row>
    <row r="41" spans="1:4" x14ac:dyDescent="0.25">
      <c r="A41" s="2">
        <v>37</v>
      </c>
      <c r="B41" s="2" t="s">
        <v>243</v>
      </c>
      <c r="C41" s="5">
        <v>45</v>
      </c>
      <c r="D41" s="6">
        <f t="shared" si="1"/>
        <v>8.4065010274612367E-3</v>
      </c>
    </row>
    <row r="42" spans="1:4" x14ac:dyDescent="0.25">
      <c r="A42" s="2">
        <v>38</v>
      </c>
      <c r="B42" s="2" t="s">
        <v>244</v>
      </c>
      <c r="C42" s="5">
        <v>42</v>
      </c>
      <c r="D42" s="6">
        <f t="shared" si="1"/>
        <v>7.8460676256304884E-3</v>
      </c>
    </row>
    <row r="43" spans="1:4" x14ac:dyDescent="0.25">
      <c r="A43" s="2">
        <v>39</v>
      </c>
      <c r="B43" s="2" t="s">
        <v>245</v>
      </c>
      <c r="C43" s="5">
        <v>39</v>
      </c>
      <c r="D43" s="6">
        <f t="shared" si="1"/>
        <v>7.2856342237997383E-3</v>
      </c>
    </row>
    <row r="44" spans="1:4" x14ac:dyDescent="0.25">
      <c r="A44" s="2">
        <v>40</v>
      </c>
      <c r="B44" s="2" t="s">
        <v>246</v>
      </c>
      <c r="C44" s="5">
        <v>37</v>
      </c>
      <c r="D44" s="6">
        <f t="shared" si="1"/>
        <v>6.9120119559125722E-3</v>
      </c>
    </row>
    <row r="45" spans="1:4" x14ac:dyDescent="0.25">
      <c r="A45" s="2">
        <v>41</v>
      </c>
      <c r="B45" s="2" t="s">
        <v>247</v>
      </c>
      <c r="C45" s="5">
        <v>36</v>
      </c>
      <c r="D45" s="6">
        <f t="shared" si="1"/>
        <v>6.7252008219689892E-3</v>
      </c>
    </row>
    <row r="46" spans="1:4" x14ac:dyDescent="0.25">
      <c r="A46" s="2">
        <v>42</v>
      </c>
      <c r="B46" s="2" t="s">
        <v>248</v>
      </c>
      <c r="C46" s="5">
        <v>35</v>
      </c>
      <c r="D46" s="6">
        <f t="shared" si="1"/>
        <v>6.5383896880254061E-3</v>
      </c>
    </row>
    <row r="47" spans="1:4" x14ac:dyDescent="0.25">
      <c r="A47" s="2">
        <v>43</v>
      </c>
      <c r="B47" s="2" t="s">
        <v>249</v>
      </c>
      <c r="C47" s="5">
        <v>34</v>
      </c>
      <c r="D47" s="6">
        <f t="shared" si="1"/>
        <v>6.351578554081823E-3</v>
      </c>
    </row>
    <row r="48" spans="1:4" x14ac:dyDescent="0.25">
      <c r="A48" s="2">
        <v>44</v>
      </c>
      <c r="B48" s="2" t="s">
        <v>250</v>
      </c>
      <c r="C48" s="5">
        <v>34</v>
      </c>
      <c r="D48" s="6">
        <f t="shared" si="1"/>
        <v>6.351578554081823E-3</v>
      </c>
    </row>
    <row r="49" spans="1:4" x14ac:dyDescent="0.25">
      <c r="A49" s="2">
        <v>45</v>
      </c>
      <c r="B49" s="2" t="s">
        <v>251</v>
      </c>
      <c r="C49" s="5">
        <v>34</v>
      </c>
      <c r="D49" s="6">
        <f t="shared" si="1"/>
        <v>6.351578554081823E-3</v>
      </c>
    </row>
    <row r="50" spans="1:4" x14ac:dyDescent="0.25">
      <c r="A50" s="2">
        <v>46</v>
      </c>
      <c r="B50" s="2" t="s">
        <v>252</v>
      </c>
      <c r="C50" s="5">
        <v>33</v>
      </c>
      <c r="D50" s="6">
        <f t="shared" si="1"/>
        <v>6.16476742013824E-3</v>
      </c>
    </row>
    <row r="51" spans="1:4" x14ac:dyDescent="0.25">
      <c r="A51" s="2">
        <v>47</v>
      </c>
      <c r="B51" s="2" t="s">
        <v>253</v>
      </c>
      <c r="C51" s="5">
        <v>33</v>
      </c>
      <c r="D51" s="6">
        <f t="shared" si="1"/>
        <v>6.16476742013824E-3</v>
      </c>
    </row>
    <row r="52" spans="1:4" x14ac:dyDescent="0.25">
      <c r="A52" s="2">
        <v>48</v>
      </c>
      <c r="B52" s="2" t="s">
        <v>254</v>
      </c>
      <c r="C52" s="5">
        <v>33</v>
      </c>
      <c r="D52" s="6">
        <f t="shared" si="1"/>
        <v>6.16476742013824E-3</v>
      </c>
    </row>
    <row r="53" spans="1:4" x14ac:dyDescent="0.25">
      <c r="A53" s="2">
        <v>49</v>
      </c>
      <c r="B53" s="2" t="s">
        <v>255</v>
      </c>
      <c r="C53" s="5">
        <v>32</v>
      </c>
      <c r="D53" s="6">
        <f t="shared" si="1"/>
        <v>5.9779562861946569E-3</v>
      </c>
    </row>
    <row r="54" spans="1:4" x14ac:dyDescent="0.25">
      <c r="A54" s="2">
        <v>50</v>
      </c>
      <c r="B54" s="2" t="s">
        <v>256</v>
      </c>
      <c r="C54" s="5">
        <v>31</v>
      </c>
      <c r="D54" s="6">
        <f t="shared" si="1"/>
        <v>5.7911451522510739E-3</v>
      </c>
    </row>
    <row r="55" spans="1:4" x14ac:dyDescent="0.25">
      <c r="A55" s="2">
        <v>51</v>
      </c>
      <c r="B55" s="2" t="s">
        <v>257</v>
      </c>
      <c r="C55" s="5">
        <v>30</v>
      </c>
      <c r="D55" s="6">
        <f t="shared" si="1"/>
        <v>5.6043340183074908E-3</v>
      </c>
    </row>
    <row r="56" spans="1:4" x14ac:dyDescent="0.25">
      <c r="A56" s="2">
        <v>52</v>
      </c>
      <c r="B56" s="2" t="s">
        <v>258</v>
      </c>
      <c r="C56" s="5">
        <v>29</v>
      </c>
      <c r="D56" s="6">
        <f t="shared" si="1"/>
        <v>5.4175228843639078E-3</v>
      </c>
    </row>
    <row r="57" spans="1:4" x14ac:dyDescent="0.25">
      <c r="A57" s="2">
        <v>53</v>
      </c>
      <c r="B57" s="2" t="s">
        <v>259</v>
      </c>
      <c r="C57" s="5">
        <v>28</v>
      </c>
      <c r="D57" s="6">
        <f t="shared" si="1"/>
        <v>5.2307117504203247E-3</v>
      </c>
    </row>
    <row r="58" spans="1:4" x14ac:dyDescent="0.25">
      <c r="A58" s="2">
        <v>54</v>
      </c>
      <c r="B58" s="2" t="s">
        <v>260</v>
      </c>
      <c r="C58" s="5">
        <v>28</v>
      </c>
      <c r="D58" s="6">
        <f t="shared" si="1"/>
        <v>5.2307117504203247E-3</v>
      </c>
    </row>
    <row r="59" spans="1:4" x14ac:dyDescent="0.25">
      <c r="A59" s="2">
        <v>55</v>
      </c>
      <c r="B59" s="2" t="s">
        <v>261</v>
      </c>
      <c r="C59" s="5">
        <v>27</v>
      </c>
      <c r="D59" s="6">
        <f t="shared" si="1"/>
        <v>5.0439006164767416E-3</v>
      </c>
    </row>
    <row r="60" spans="1:4" x14ac:dyDescent="0.25">
      <c r="A60" s="2">
        <v>56</v>
      </c>
      <c r="B60" s="2" t="s">
        <v>262</v>
      </c>
      <c r="C60" s="5">
        <v>27</v>
      </c>
      <c r="D60" s="6">
        <f t="shared" si="1"/>
        <v>5.0439006164767416E-3</v>
      </c>
    </row>
    <row r="61" spans="1:4" x14ac:dyDescent="0.25">
      <c r="A61" s="2">
        <v>57</v>
      </c>
      <c r="B61" s="2" t="s">
        <v>263</v>
      </c>
      <c r="C61" s="5">
        <v>27</v>
      </c>
      <c r="D61" s="6">
        <f t="shared" si="1"/>
        <v>5.0439006164767416E-3</v>
      </c>
    </row>
    <row r="62" spans="1:4" x14ac:dyDescent="0.25">
      <c r="A62" s="2">
        <v>58</v>
      </c>
      <c r="B62" s="2" t="s">
        <v>264</v>
      </c>
      <c r="C62" s="5">
        <v>26</v>
      </c>
      <c r="D62" s="6">
        <f t="shared" si="1"/>
        <v>4.8570894825331586E-3</v>
      </c>
    </row>
    <row r="63" spans="1:4" x14ac:dyDescent="0.25">
      <c r="A63" s="2">
        <v>59</v>
      </c>
      <c r="B63" s="2" t="s">
        <v>265</v>
      </c>
      <c r="C63" s="5">
        <v>25</v>
      </c>
      <c r="D63" s="6">
        <f t="shared" si="1"/>
        <v>4.6702783485895755E-3</v>
      </c>
    </row>
    <row r="64" spans="1:4" x14ac:dyDescent="0.25">
      <c r="A64" s="2">
        <v>60</v>
      </c>
      <c r="B64" s="2" t="s">
        <v>266</v>
      </c>
      <c r="C64" s="5">
        <v>25</v>
      </c>
      <c r="D64" s="6">
        <f t="shared" si="1"/>
        <v>4.6702783485895755E-3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14" customWidth="1"/>
  </cols>
  <sheetData>
    <row r="1" spans="1:5" ht="30" customHeight="1" x14ac:dyDescent="0.25">
      <c r="A1" s="24" t="s">
        <v>267</v>
      </c>
      <c r="B1" s="18"/>
      <c r="C1" s="18"/>
      <c r="D1" s="18"/>
      <c r="E1" s="18"/>
    </row>
    <row r="2" spans="1:5" ht="18" customHeight="1" x14ac:dyDescent="0.25">
      <c r="A2" s="29" t="s">
        <v>268</v>
      </c>
      <c r="B2" s="18"/>
      <c r="C2" s="18"/>
      <c r="D2" s="18"/>
      <c r="E2" s="18"/>
    </row>
    <row r="4" spans="1:5" ht="25.5" x14ac:dyDescent="0.25">
      <c r="A4" s="1" t="s">
        <v>212</v>
      </c>
      <c r="B4" s="1" t="s">
        <v>269</v>
      </c>
      <c r="C4" s="1" t="s">
        <v>214</v>
      </c>
      <c r="D4" s="1" t="s">
        <v>270</v>
      </c>
    </row>
    <row r="5" spans="1:5" x14ac:dyDescent="0.25">
      <c r="A5" s="2">
        <v>1</v>
      </c>
      <c r="B5" s="2" t="s">
        <v>271</v>
      </c>
      <c r="C5" s="5">
        <v>1297</v>
      </c>
      <c r="D5" s="2" t="s">
        <v>272</v>
      </c>
    </row>
    <row r="6" spans="1:5" x14ac:dyDescent="0.25">
      <c r="A6" s="2">
        <v>2</v>
      </c>
      <c r="B6" s="2" t="s">
        <v>273</v>
      </c>
      <c r="C6" s="5">
        <v>1294</v>
      </c>
      <c r="D6" s="2" t="s">
        <v>272</v>
      </c>
    </row>
    <row r="7" spans="1:5" x14ac:dyDescent="0.25">
      <c r="A7" s="2">
        <v>3</v>
      </c>
      <c r="B7" s="2" t="s">
        <v>274</v>
      </c>
      <c r="C7" s="5">
        <v>1249</v>
      </c>
      <c r="D7" s="2" t="s">
        <v>272</v>
      </c>
    </row>
    <row r="8" spans="1:5" x14ac:dyDescent="0.25">
      <c r="A8" s="2">
        <v>4</v>
      </c>
      <c r="B8" s="2" t="s">
        <v>275</v>
      </c>
      <c r="C8" s="5">
        <v>1056</v>
      </c>
      <c r="D8" s="2" t="s">
        <v>272</v>
      </c>
    </row>
    <row r="9" spans="1:5" x14ac:dyDescent="0.25">
      <c r="A9" s="2">
        <v>5</v>
      </c>
      <c r="B9" s="2" t="s">
        <v>276</v>
      </c>
      <c r="C9" s="5">
        <v>692</v>
      </c>
      <c r="D9" s="2" t="s">
        <v>277</v>
      </c>
    </row>
    <row r="10" spans="1:5" x14ac:dyDescent="0.25">
      <c r="A10" s="2">
        <v>6</v>
      </c>
      <c r="B10" s="2" t="s">
        <v>278</v>
      </c>
      <c r="C10" s="5">
        <v>601</v>
      </c>
      <c r="D10" s="2" t="s">
        <v>277</v>
      </c>
    </row>
    <row r="11" spans="1:5" x14ac:dyDescent="0.25">
      <c r="A11" s="2">
        <v>7</v>
      </c>
      <c r="B11" s="2" t="s">
        <v>279</v>
      </c>
      <c r="C11" s="5">
        <v>503</v>
      </c>
      <c r="D11" s="2" t="s">
        <v>277</v>
      </c>
    </row>
    <row r="12" spans="1:5" x14ac:dyDescent="0.25">
      <c r="A12" s="2">
        <v>8</v>
      </c>
      <c r="B12" s="2" t="s">
        <v>280</v>
      </c>
      <c r="C12" s="5">
        <v>463</v>
      </c>
      <c r="D12" s="2" t="s">
        <v>277</v>
      </c>
    </row>
    <row r="13" spans="1:5" x14ac:dyDescent="0.25">
      <c r="A13" s="2">
        <v>9</v>
      </c>
      <c r="B13" s="2" t="s">
        <v>281</v>
      </c>
      <c r="C13" s="5">
        <v>441</v>
      </c>
      <c r="D13" s="2" t="s">
        <v>277</v>
      </c>
    </row>
    <row r="14" spans="1:5" x14ac:dyDescent="0.25">
      <c r="A14" s="2">
        <v>10</v>
      </c>
      <c r="B14" s="2" t="s">
        <v>282</v>
      </c>
      <c r="C14" s="5">
        <v>322</v>
      </c>
      <c r="D14" s="2" t="s">
        <v>277</v>
      </c>
    </row>
    <row r="15" spans="1:5" x14ac:dyDescent="0.25">
      <c r="A15" s="2">
        <v>11</v>
      </c>
      <c r="B15" s="2" t="s">
        <v>283</v>
      </c>
      <c r="C15" s="5">
        <v>214</v>
      </c>
      <c r="D15" s="2" t="s">
        <v>277</v>
      </c>
    </row>
    <row r="16" spans="1:5" x14ac:dyDescent="0.25">
      <c r="A16" s="2">
        <v>12</v>
      </c>
      <c r="B16" s="2" t="s">
        <v>284</v>
      </c>
      <c r="C16" s="5">
        <v>196</v>
      </c>
      <c r="D16" s="2" t="s">
        <v>277</v>
      </c>
    </row>
    <row r="17" spans="1:4" x14ac:dyDescent="0.25">
      <c r="A17" s="2">
        <v>13</v>
      </c>
      <c r="B17" s="2" t="s">
        <v>285</v>
      </c>
      <c r="C17" s="5">
        <v>195</v>
      </c>
      <c r="D17" s="2" t="s">
        <v>277</v>
      </c>
    </row>
    <row r="18" spans="1:4" x14ac:dyDescent="0.25">
      <c r="A18" s="2">
        <v>14</v>
      </c>
      <c r="B18" s="2" t="s">
        <v>286</v>
      </c>
      <c r="C18" s="5">
        <v>188</v>
      </c>
      <c r="D18" s="2" t="s">
        <v>272</v>
      </c>
    </row>
    <row r="19" spans="1:4" x14ac:dyDescent="0.25">
      <c r="A19" s="2">
        <v>15</v>
      </c>
      <c r="B19" s="2" t="s">
        <v>287</v>
      </c>
      <c r="C19" s="5">
        <v>158</v>
      </c>
      <c r="D19" s="2" t="s">
        <v>272</v>
      </c>
    </row>
    <row r="20" spans="1:4" x14ac:dyDescent="0.25">
      <c r="A20" s="2">
        <v>16</v>
      </c>
      <c r="B20" s="2" t="s">
        <v>288</v>
      </c>
      <c r="C20" s="5">
        <v>150</v>
      </c>
      <c r="D20" s="2" t="s">
        <v>277</v>
      </c>
    </row>
    <row r="21" spans="1:4" x14ac:dyDescent="0.25">
      <c r="A21" s="2">
        <v>17</v>
      </c>
      <c r="B21" s="2" t="s">
        <v>289</v>
      </c>
      <c r="C21" s="5">
        <v>128</v>
      </c>
      <c r="D21" s="2" t="s">
        <v>277</v>
      </c>
    </row>
    <row r="22" spans="1:4" x14ac:dyDescent="0.25">
      <c r="A22" s="2">
        <v>18</v>
      </c>
      <c r="B22" s="2" t="s">
        <v>290</v>
      </c>
      <c r="C22" s="5">
        <v>112</v>
      </c>
      <c r="D22" s="2" t="s">
        <v>272</v>
      </c>
    </row>
    <row r="23" spans="1:4" x14ac:dyDescent="0.25">
      <c r="A23" s="2">
        <v>19</v>
      </c>
      <c r="B23" s="2" t="s">
        <v>291</v>
      </c>
      <c r="C23" s="5">
        <v>101</v>
      </c>
      <c r="D23" s="2" t="s">
        <v>272</v>
      </c>
    </row>
    <row r="24" spans="1:4" x14ac:dyDescent="0.25">
      <c r="A24" s="2">
        <v>20</v>
      </c>
      <c r="B24" s="2" t="s">
        <v>292</v>
      </c>
      <c r="C24" s="5">
        <v>90</v>
      </c>
      <c r="D24" s="2" t="s">
        <v>293</v>
      </c>
    </row>
    <row r="25" spans="1:4" x14ac:dyDescent="0.25">
      <c r="A25" s="2">
        <v>21</v>
      </c>
      <c r="B25" s="2" t="s">
        <v>294</v>
      </c>
      <c r="C25" s="5">
        <v>89</v>
      </c>
      <c r="D25" s="2" t="s">
        <v>277</v>
      </c>
    </row>
    <row r="26" spans="1:4" x14ac:dyDescent="0.25">
      <c r="A26" s="2">
        <v>22</v>
      </c>
      <c r="B26" s="2" t="s">
        <v>295</v>
      </c>
      <c r="C26" s="5">
        <v>88</v>
      </c>
      <c r="D26" s="2" t="s">
        <v>277</v>
      </c>
    </row>
    <row r="27" spans="1:4" x14ac:dyDescent="0.25">
      <c r="A27" s="2">
        <v>23</v>
      </c>
      <c r="B27" s="2" t="s">
        <v>296</v>
      </c>
      <c r="C27" s="5">
        <v>88</v>
      </c>
      <c r="D27" s="2" t="s">
        <v>293</v>
      </c>
    </row>
    <row r="28" spans="1:4" x14ac:dyDescent="0.25">
      <c r="A28" s="2">
        <v>24</v>
      </c>
      <c r="B28" s="2" t="s">
        <v>297</v>
      </c>
      <c r="C28" s="5">
        <v>86</v>
      </c>
      <c r="D28" s="2" t="s">
        <v>293</v>
      </c>
    </row>
    <row r="29" spans="1:4" x14ac:dyDescent="0.25">
      <c r="A29" s="2">
        <v>25</v>
      </c>
      <c r="B29" s="2" t="s">
        <v>298</v>
      </c>
      <c r="C29" s="5">
        <v>85</v>
      </c>
      <c r="D29" s="2" t="s">
        <v>293</v>
      </c>
    </row>
    <row r="30" spans="1:4" x14ac:dyDescent="0.25">
      <c r="A30" s="2">
        <v>26</v>
      </c>
      <c r="B30" s="2" t="s">
        <v>299</v>
      </c>
      <c r="C30" s="5">
        <v>68</v>
      </c>
      <c r="D30" s="2" t="s">
        <v>277</v>
      </c>
    </row>
    <row r="31" spans="1:4" x14ac:dyDescent="0.25">
      <c r="A31" s="2">
        <v>27</v>
      </c>
      <c r="B31" s="2" t="s">
        <v>300</v>
      </c>
      <c r="C31" s="5">
        <v>64</v>
      </c>
      <c r="D31" s="2" t="s">
        <v>277</v>
      </c>
    </row>
    <row r="32" spans="1:4" x14ac:dyDescent="0.25">
      <c r="A32" s="2">
        <v>28</v>
      </c>
      <c r="B32" s="2" t="s">
        <v>301</v>
      </c>
      <c r="C32" s="5">
        <v>60</v>
      </c>
      <c r="D32" s="2" t="s">
        <v>277</v>
      </c>
    </row>
    <row r="33" spans="1:4" x14ac:dyDescent="0.25">
      <c r="A33" s="2">
        <v>29</v>
      </c>
      <c r="B33" s="2" t="s">
        <v>302</v>
      </c>
      <c r="C33" s="5">
        <v>57</v>
      </c>
      <c r="D33" s="2" t="s">
        <v>277</v>
      </c>
    </row>
    <row r="34" spans="1:4" x14ac:dyDescent="0.25">
      <c r="A34" s="2">
        <v>30</v>
      </c>
      <c r="B34" s="2" t="s">
        <v>303</v>
      </c>
      <c r="C34" s="5">
        <v>54</v>
      </c>
      <c r="D34" s="2" t="s">
        <v>277</v>
      </c>
    </row>
    <row r="35" spans="1:4" x14ac:dyDescent="0.25">
      <c r="A35" s="2">
        <v>31</v>
      </c>
      <c r="B35" s="2" t="s">
        <v>304</v>
      </c>
      <c r="C35" s="5">
        <v>54</v>
      </c>
      <c r="D35" s="2" t="s">
        <v>277</v>
      </c>
    </row>
    <row r="36" spans="1:4" x14ac:dyDescent="0.25">
      <c r="A36" s="2">
        <v>32</v>
      </c>
      <c r="B36" s="2" t="s">
        <v>305</v>
      </c>
      <c r="C36" s="5">
        <v>52</v>
      </c>
      <c r="D36" s="2" t="s">
        <v>277</v>
      </c>
    </row>
    <row r="37" spans="1:4" x14ac:dyDescent="0.25">
      <c r="A37" s="2">
        <v>33</v>
      </c>
      <c r="B37" s="2" t="s">
        <v>306</v>
      </c>
      <c r="C37" s="5">
        <v>52</v>
      </c>
      <c r="D37" s="2" t="s">
        <v>277</v>
      </c>
    </row>
    <row r="38" spans="1:4" x14ac:dyDescent="0.25">
      <c r="A38" s="2">
        <v>34</v>
      </c>
      <c r="B38" s="2" t="s">
        <v>307</v>
      </c>
      <c r="C38" s="5">
        <v>51</v>
      </c>
      <c r="D38" s="2" t="s">
        <v>277</v>
      </c>
    </row>
    <row r="39" spans="1:4" x14ac:dyDescent="0.25">
      <c r="A39" s="2">
        <v>35</v>
      </c>
      <c r="B39" s="2" t="s">
        <v>308</v>
      </c>
      <c r="C39" s="5">
        <v>47</v>
      </c>
      <c r="D39" s="2" t="s">
        <v>277</v>
      </c>
    </row>
    <row r="40" spans="1:4" x14ac:dyDescent="0.25">
      <c r="A40" s="2">
        <v>36</v>
      </c>
      <c r="B40" s="2" t="s">
        <v>309</v>
      </c>
      <c r="C40" s="5">
        <v>45</v>
      </c>
      <c r="D40" s="2" t="s">
        <v>277</v>
      </c>
    </row>
    <row r="41" spans="1:4" x14ac:dyDescent="0.25">
      <c r="A41" s="2">
        <v>37</v>
      </c>
      <c r="B41" s="2" t="s">
        <v>310</v>
      </c>
      <c r="C41" s="5">
        <v>44</v>
      </c>
      <c r="D41" s="2" t="s">
        <v>293</v>
      </c>
    </row>
    <row r="42" spans="1:4" x14ac:dyDescent="0.25">
      <c r="A42" s="2">
        <v>38</v>
      </c>
      <c r="B42" s="2" t="s">
        <v>311</v>
      </c>
      <c r="C42" s="5">
        <v>43</v>
      </c>
      <c r="D42" s="2" t="s">
        <v>277</v>
      </c>
    </row>
    <row r="43" spans="1:4" x14ac:dyDescent="0.25">
      <c r="A43" s="2">
        <v>39</v>
      </c>
      <c r="B43" s="2" t="s">
        <v>312</v>
      </c>
      <c r="C43" s="5">
        <v>42</v>
      </c>
      <c r="D43" s="2" t="s">
        <v>293</v>
      </c>
    </row>
    <row r="44" spans="1:4" x14ac:dyDescent="0.25">
      <c r="A44" s="2">
        <v>40</v>
      </c>
      <c r="B44" s="2" t="s">
        <v>313</v>
      </c>
      <c r="C44" s="5">
        <v>42</v>
      </c>
      <c r="D44" s="2" t="s">
        <v>277</v>
      </c>
    </row>
    <row r="45" spans="1:4" x14ac:dyDescent="0.25">
      <c r="A45" s="2">
        <v>41</v>
      </c>
      <c r="B45" s="2" t="s">
        <v>314</v>
      </c>
      <c r="C45" s="5">
        <v>41</v>
      </c>
      <c r="D45" s="2" t="s">
        <v>293</v>
      </c>
    </row>
    <row r="46" spans="1:4" x14ac:dyDescent="0.25">
      <c r="A46" s="2">
        <v>42</v>
      </c>
      <c r="B46" s="2" t="s">
        <v>315</v>
      </c>
      <c r="C46" s="5">
        <v>40</v>
      </c>
      <c r="D46" s="2" t="s">
        <v>293</v>
      </c>
    </row>
    <row r="47" spans="1:4" x14ac:dyDescent="0.25">
      <c r="A47" s="2">
        <v>43</v>
      </c>
      <c r="B47" s="2" t="s">
        <v>316</v>
      </c>
      <c r="C47" s="5">
        <v>40</v>
      </c>
      <c r="D47" s="2" t="s">
        <v>293</v>
      </c>
    </row>
    <row r="48" spans="1:4" x14ac:dyDescent="0.25">
      <c r="A48" s="2">
        <v>44</v>
      </c>
      <c r="B48" s="2" t="s">
        <v>317</v>
      </c>
      <c r="C48" s="5">
        <v>39</v>
      </c>
      <c r="D48" s="2" t="s">
        <v>277</v>
      </c>
    </row>
    <row r="49" spans="1:4" x14ac:dyDescent="0.25">
      <c r="A49" s="2">
        <v>45</v>
      </c>
      <c r="B49" s="2" t="s">
        <v>318</v>
      </c>
      <c r="C49" s="5">
        <v>39</v>
      </c>
      <c r="D49" s="2" t="s">
        <v>293</v>
      </c>
    </row>
    <row r="50" spans="1:4" x14ac:dyDescent="0.25">
      <c r="A50" s="2">
        <v>46</v>
      </c>
      <c r="B50" s="2" t="s">
        <v>319</v>
      </c>
      <c r="C50" s="5">
        <v>38</v>
      </c>
      <c r="D50" s="2" t="s">
        <v>277</v>
      </c>
    </row>
    <row r="51" spans="1:4" x14ac:dyDescent="0.25">
      <c r="A51" s="2">
        <v>47</v>
      </c>
      <c r="B51" s="2" t="s">
        <v>320</v>
      </c>
      <c r="C51" s="5">
        <v>38</v>
      </c>
      <c r="D51" s="2" t="s">
        <v>293</v>
      </c>
    </row>
    <row r="52" spans="1:4" x14ac:dyDescent="0.25">
      <c r="A52" s="2">
        <v>48</v>
      </c>
      <c r="B52" s="2" t="s">
        <v>321</v>
      </c>
      <c r="C52" s="5">
        <v>37</v>
      </c>
      <c r="D52" s="2" t="s">
        <v>272</v>
      </c>
    </row>
    <row r="53" spans="1:4" x14ac:dyDescent="0.25">
      <c r="A53" s="2">
        <v>49</v>
      </c>
      <c r="B53" s="2" t="s">
        <v>322</v>
      </c>
      <c r="C53" s="5">
        <v>35</v>
      </c>
      <c r="D53" s="2" t="s">
        <v>293</v>
      </c>
    </row>
    <row r="54" spans="1:4" x14ac:dyDescent="0.25">
      <c r="A54" s="2">
        <v>50</v>
      </c>
      <c r="B54" s="2" t="s">
        <v>323</v>
      </c>
      <c r="C54" s="5">
        <v>35</v>
      </c>
      <c r="D54" s="2" t="s">
        <v>277</v>
      </c>
    </row>
    <row r="55" spans="1:4" x14ac:dyDescent="0.25">
      <c r="A55" s="2">
        <v>51</v>
      </c>
      <c r="B55" s="2" t="s">
        <v>324</v>
      </c>
      <c r="C55" s="5">
        <v>34</v>
      </c>
      <c r="D55" s="2" t="s">
        <v>293</v>
      </c>
    </row>
    <row r="56" spans="1:4" x14ac:dyDescent="0.25">
      <c r="A56" s="2">
        <v>52</v>
      </c>
      <c r="B56" s="2" t="s">
        <v>325</v>
      </c>
      <c r="C56" s="5">
        <v>34</v>
      </c>
      <c r="D56" s="2" t="s">
        <v>277</v>
      </c>
    </row>
    <row r="57" spans="1:4" x14ac:dyDescent="0.25">
      <c r="A57" s="2">
        <v>53</v>
      </c>
      <c r="B57" s="2" t="s">
        <v>326</v>
      </c>
      <c r="C57" s="5">
        <v>33</v>
      </c>
      <c r="D57" s="2" t="s">
        <v>293</v>
      </c>
    </row>
    <row r="58" spans="1:4" x14ac:dyDescent="0.25">
      <c r="A58" s="2">
        <v>54</v>
      </c>
      <c r="B58" s="2" t="s">
        <v>327</v>
      </c>
      <c r="C58" s="5">
        <v>31</v>
      </c>
      <c r="D58" s="2" t="s">
        <v>293</v>
      </c>
    </row>
    <row r="59" spans="1:4" x14ac:dyDescent="0.25">
      <c r="A59" s="2">
        <v>55</v>
      </c>
      <c r="B59" s="2" t="s">
        <v>328</v>
      </c>
      <c r="C59" s="5">
        <v>30</v>
      </c>
      <c r="D59" s="2" t="s">
        <v>293</v>
      </c>
    </row>
    <row r="60" spans="1:4" x14ac:dyDescent="0.25">
      <c r="A60" s="2">
        <v>56</v>
      </c>
      <c r="B60" s="2" t="s">
        <v>329</v>
      </c>
      <c r="C60" s="5">
        <v>30</v>
      </c>
      <c r="D60" s="2" t="s">
        <v>293</v>
      </c>
    </row>
    <row r="61" spans="1:4" x14ac:dyDescent="0.25">
      <c r="A61" s="2">
        <v>57</v>
      </c>
      <c r="B61" s="2" t="s">
        <v>330</v>
      </c>
      <c r="C61" s="5">
        <v>30</v>
      </c>
      <c r="D61" s="2" t="s">
        <v>293</v>
      </c>
    </row>
    <row r="62" spans="1:4" x14ac:dyDescent="0.25">
      <c r="A62" s="2">
        <v>58</v>
      </c>
      <c r="B62" s="2" t="s">
        <v>331</v>
      </c>
      <c r="C62" s="5">
        <v>30</v>
      </c>
      <c r="D62" s="2" t="s">
        <v>277</v>
      </c>
    </row>
    <row r="63" spans="1:4" x14ac:dyDescent="0.25">
      <c r="A63" s="2">
        <v>59</v>
      </c>
      <c r="B63" s="2" t="s">
        <v>332</v>
      </c>
      <c r="C63" s="5">
        <v>30</v>
      </c>
      <c r="D63" s="2" t="s">
        <v>277</v>
      </c>
    </row>
    <row r="64" spans="1:4" x14ac:dyDescent="0.25">
      <c r="A64" s="2">
        <v>60</v>
      </c>
      <c r="B64" s="2" t="s">
        <v>333</v>
      </c>
      <c r="C64" s="5">
        <v>28</v>
      </c>
      <c r="D64" s="2" t="s">
        <v>293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9"/>
  <sheetViews>
    <sheetView showGridLines="0" workbookViewId="0"/>
  </sheetViews>
  <sheetFormatPr defaultRowHeight="15" x14ac:dyDescent="0.25"/>
  <cols>
    <col min="1" max="1" width="28" customWidth="1"/>
    <col min="2" max="2" width="34" customWidth="1"/>
    <col min="3" max="4" width="16" customWidth="1"/>
  </cols>
  <sheetData>
    <row r="1" spans="1:5" ht="30" customHeight="1" x14ac:dyDescent="0.25">
      <c r="A1" s="24" t="s">
        <v>334</v>
      </c>
      <c r="B1" s="18"/>
      <c r="C1" s="18"/>
      <c r="D1" s="18"/>
      <c r="E1" s="18"/>
    </row>
    <row r="2" spans="1:5" ht="18" customHeight="1" x14ac:dyDescent="0.25">
      <c r="A2" s="29" t="s">
        <v>335</v>
      </c>
      <c r="B2" s="18"/>
      <c r="C2" s="18"/>
      <c r="D2" s="18"/>
      <c r="E2" s="18"/>
    </row>
    <row r="4" spans="1:5" ht="25.5" x14ac:dyDescent="0.25">
      <c r="A4" s="1" t="s">
        <v>336</v>
      </c>
      <c r="B4" s="1" t="s">
        <v>337</v>
      </c>
      <c r="C4" s="1" t="s">
        <v>338</v>
      </c>
      <c r="D4" s="1" t="s">
        <v>339</v>
      </c>
    </row>
    <row r="5" spans="1:5" x14ac:dyDescent="0.25">
      <c r="A5" s="2" t="s">
        <v>340</v>
      </c>
      <c r="B5" s="2" t="s">
        <v>341</v>
      </c>
      <c r="C5" s="2" t="s">
        <v>18</v>
      </c>
      <c r="D5" s="5">
        <v>4051</v>
      </c>
    </row>
    <row r="6" spans="1:5" x14ac:dyDescent="0.25">
      <c r="A6" s="2" t="s">
        <v>340</v>
      </c>
      <c r="B6" s="2" t="s">
        <v>342</v>
      </c>
      <c r="C6" s="2" t="s">
        <v>21</v>
      </c>
      <c r="D6" s="5">
        <v>2811</v>
      </c>
    </row>
    <row r="7" spans="1:5" x14ac:dyDescent="0.25">
      <c r="A7" s="2" t="s">
        <v>340</v>
      </c>
      <c r="B7" s="2" t="s">
        <v>343</v>
      </c>
      <c r="C7" s="2" t="s">
        <v>135</v>
      </c>
      <c r="D7" s="5">
        <v>117</v>
      </c>
    </row>
    <row r="8" spans="1:5" x14ac:dyDescent="0.25">
      <c r="A8" s="2" t="s">
        <v>340</v>
      </c>
      <c r="B8" s="2" t="s">
        <v>344</v>
      </c>
      <c r="C8" s="2" t="s">
        <v>138</v>
      </c>
      <c r="D8" s="5">
        <v>24</v>
      </c>
    </row>
    <row r="9" spans="1:5" x14ac:dyDescent="0.25">
      <c r="A9" s="2" t="s">
        <v>340</v>
      </c>
      <c r="B9" s="2" t="s">
        <v>345</v>
      </c>
      <c r="C9" s="2" t="s">
        <v>18</v>
      </c>
      <c r="D9" s="5">
        <v>17</v>
      </c>
    </row>
    <row r="10" spans="1:5" x14ac:dyDescent="0.25">
      <c r="A10" s="2" t="s">
        <v>346</v>
      </c>
      <c r="B10" s="2" t="s">
        <v>347</v>
      </c>
      <c r="C10" s="2" t="s">
        <v>18</v>
      </c>
      <c r="D10" s="5">
        <v>11</v>
      </c>
    </row>
    <row r="11" spans="1:5" x14ac:dyDescent="0.25">
      <c r="A11" s="2" t="s">
        <v>340</v>
      </c>
      <c r="B11" s="2" t="s">
        <v>348</v>
      </c>
      <c r="C11" s="2" t="s">
        <v>18</v>
      </c>
      <c r="D11" s="5">
        <v>7</v>
      </c>
    </row>
    <row r="12" spans="1:5" x14ac:dyDescent="0.25">
      <c r="A12" s="2" t="s">
        <v>346</v>
      </c>
      <c r="B12" s="2" t="s">
        <v>349</v>
      </c>
      <c r="C12" s="2" t="s">
        <v>135</v>
      </c>
      <c r="D12" s="5">
        <v>5</v>
      </c>
    </row>
    <row r="13" spans="1:5" x14ac:dyDescent="0.25">
      <c r="A13" s="2" t="s">
        <v>340</v>
      </c>
      <c r="B13" s="2" t="s">
        <v>350</v>
      </c>
      <c r="C13" s="2" t="s">
        <v>153</v>
      </c>
      <c r="D13" s="5">
        <v>5</v>
      </c>
    </row>
    <row r="14" spans="1:5" x14ac:dyDescent="0.25">
      <c r="A14" s="2" t="s">
        <v>340</v>
      </c>
      <c r="B14" s="2" t="s">
        <v>351</v>
      </c>
      <c r="C14" s="2" t="s">
        <v>147</v>
      </c>
      <c r="D14" s="5">
        <v>4</v>
      </c>
    </row>
    <row r="15" spans="1:5" x14ac:dyDescent="0.25">
      <c r="A15" s="2" t="s">
        <v>346</v>
      </c>
      <c r="B15" s="2" t="s">
        <v>352</v>
      </c>
      <c r="C15" s="2" t="s">
        <v>21</v>
      </c>
      <c r="D15" s="5">
        <v>3</v>
      </c>
    </row>
    <row r="16" spans="1:5" x14ac:dyDescent="0.25">
      <c r="A16" s="2" t="s">
        <v>346</v>
      </c>
      <c r="B16" s="2" t="s">
        <v>353</v>
      </c>
      <c r="C16" s="2" t="s">
        <v>18</v>
      </c>
      <c r="D16" s="5">
        <v>2</v>
      </c>
    </row>
    <row r="17" spans="1:4" x14ac:dyDescent="0.25">
      <c r="A17" s="2" t="s">
        <v>346</v>
      </c>
      <c r="B17" s="2" t="s">
        <v>354</v>
      </c>
      <c r="C17" s="2" t="s">
        <v>18</v>
      </c>
      <c r="D17" s="5">
        <v>1</v>
      </c>
    </row>
    <row r="18" spans="1:4" x14ac:dyDescent="0.25">
      <c r="A18" s="2" t="s">
        <v>346</v>
      </c>
      <c r="B18" s="2" t="s">
        <v>355</v>
      </c>
      <c r="C18" s="2" t="s">
        <v>135</v>
      </c>
      <c r="D18" s="5">
        <v>1</v>
      </c>
    </row>
    <row r="19" spans="1:4" x14ac:dyDescent="0.25">
      <c r="A19" s="7" t="s">
        <v>356</v>
      </c>
      <c r="B19" s="2"/>
      <c r="C19" s="2"/>
      <c r="D19" s="14">
        <f>SUM(D5:D18)</f>
        <v>7059</v>
      </c>
    </row>
    <row r="21" spans="1:4" ht="20.100000000000001" customHeight="1" x14ac:dyDescent="0.25">
      <c r="A21" s="17" t="s">
        <v>357</v>
      </c>
      <c r="B21" s="18"/>
      <c r="C21" s="18"/>
      <c r="D21" s="18"/>
    </row>
    <row r="22" spans="1:4" x14ac:dyDescent="0.25">
      <c r="A22" s="1" t="s">
        <v>336</v>
      </c>
      <c r="B22" s="1" t="s">
        <v>358</v>
      </c>
      <c r="C22" s="1"/>
      <c r="D22" s="1" t="s">
        <v>26</v>
      </c>
    </row>
    <row r="23" spans="1:4" x14ac:dyDescent="0.25">
      <c r="A23" s="2" t="s">
        <v>359</v>
      </c>
      <c r="B23" s="2" t="s">
        <v>360</v>
      </c>
      <c r="C23" s="2"/>
      <c r="D23" s="5">
        <v>3</v>
      </c>
    </row>
    <row r="24" spans="1:4" x14ac:dyDescent="0.25">
      <c r="A24" s="2" t="s">
        <v>359</v>
      </c>
      <c r="B24" s="2" t="s">
        <v>361</v>
      </c>
      <c r="C24" s="2"/>
      <c r="D24" s="5">
        <v>2</v>
      </c>
    </row>
    <row r="25" spans="1:4" x14ac:dyDescent="0.25">
      <c r="A25" s="2" t="s">
        <v>359</v>
      </c>
      <c r="B25" s="2" t="s">
        <v>362</v>
      </c>
      <c r="C25" s="2"/>
      <c r="D25" s="5">
        <v>2</v>
      </c>
    </row>
    <row r="26" spans="1:4" x14ac:dyDescent="0.25">
      <c r="A26" s="2" t="s">
        <v>359</v>
      </c>
      <c r="B26" s="2" t="s">
        <v>162</v>
      </c>
      <c r="C26" s="2"/>
      <c r="D26" s="5">
        <v>1</v>
      </c>
    </row>
    <row r="27" spans="1:4" x14ac:dyDescent="0.25">
      <c r="A27" s="2" t="s">
        <v>359</v>
      </c>
      <c r="B27" s="2" t="s">
        <v>363</v>
      </c>
      <c r="C27" s="2"/>
      <c r="D27" s="5">
        <v>1</v>
      </c>
    </row>
    <row r="28" spans="1:4" x14ac:dyDescent="0.25">
      <c r="A28" s="2" t="s">
        <v>359</v>
      </c>
      <c r="B28" s="2" t="s">
        <v>166</v>
      </c>
      <c r="C28" s="2"/>
      <c r="D28" s="5">
        <v>1</v>
      </c>
    </row>
    <row r="29" spans="1:4" x14ac:dyDescent="0.25">
      <c r="A29" s="2" t="s">
        <v>359</v>
      </c>
      <c r="B29" s="2" t="s">
        <v>364</v>
      </c>
      <c r="C29" s="2"/>
      <c r="D29" s="5">
        <v>1</v>
      </c>
    </row>
    <row r="30" spans="1:4" x14ac:dyDescent="0.25">
      <c r="A30" s="2" t="s">
        <v>359</v>
      </c>
      <c r="B30" s="2" t="s">
        <v>365</v>
      </c>
      <c r="C30" s="2"/>
      <c r="D30" s="5">
        <v>1</v>
      </c>
    </row>
    <row r="31" spans="1:4" x14ac:dyDescent="0.25">
      <c r="A31" s="2" t="s">
        <v>359</v>
      </c>
      <c r="B31" s="2" t="s">
        <v>172</v>
      </c>
      <c r="C31" s="2"/>
      <c r="D31" s="5">
        <v>1</v>
      </c>
    </row>
    <row r="32" spans="1:4" x14ac:dyDescent="0.25">
      <c r="A32" s="2" t="s">
        <v>359</v>
      </c>
      <c r="B32" s="2" t="s">
        <v>174</v>
      </c>
      <c r="C32" s="2"/>
      <c r="D32" s="5">
        <v>1</v>
      </c>
    </row>
    <row r="33" spans="1:4" x14ac:dyDescent="0.25">
      <c r="A33" s="2" t="s">
        <v>359</v>
      </c>
      <c r="B33" s="2" t="s">
        <v>176</v>
      </c>
      <c r="C33" s="2"/>
      <c r="D33" s="5">
        <v>1</v>
      </c>
    </row>
    <row r="34" spans="1:4" x14ac:dyDescent="0.25">
      <c r="A34" s="2" t="s">
        <v>359</v>
      </c>
      <c r="B34" s="2" t="s">
        <v>366</v>
      </c>
      <c r="C34" s="2"/>
      <c r="D34" s="5">
        <v>1</v>
      </c>
    </row>
    <row r="35" spans="1:4" x14ac:dyDescent="0.25">
      <c r="A35" s="2" t="s">
        <v>359</v>
      </c>
      <c r="B35" s="2" t="s">
        <v>367</v>
      </c>
      <c r="C35" s="2"/>
      <c r="D35" s="5">
        <v>1</v>
      </c>
    </row>
    <row r="36" spans="1:4" x14ac:dyDescent="0.25">
      <c r="A36" s="2" t="s">
        <v>359</v>
      </c>
      <c r="B36" s="2" t="s">
        <v>368</v>
      </c>
      <c r="C36" s="2"/>
      <c r="D36" s="5">
        <v>1</v>
      </c>
    </row>
    <row r="37" spans="1:4" x14ac:dyDescent="0.25">
      <c r="A37" s="2" t="s">
        <v>359</v>
      </c>
      <c r="B37" s="2" t="s">
        <v>184</v>
      </c>
      <c r="C37" s="2"/>
      <c r="D37" s="5">
        <v>1</v>
      </c>
    </row>
    <row r="38" spans="1:4" x14ac:dyDescent="0.25">
      <c r="A38" s="2" t="s">
        <v>359</v>
      </c>
      <c r="B38" s="2" t="s">
        <v>369</v>
      </c>
      <c r="C38" s="2"/>
      <c r="D38" s="5">
        <v>1</v>
      </c>
    </row>
    <row r="39" spans="1:4" x14ac:dyDescent="0.25">
      <c r="A39" s="2" t="s">
        <v>359</v>
      </c>
      <c r="B39" s="2" t="s">
        <v>188</v>
      </c>
      <c r="C39" s="2"/>
      <c r="D39" s="5">
        <v>1</v>
      </c>
    </row>
    <row r="40" spans="1:4" x14ac:dyDescent="0.25">
      <c r="A40" s="2" t="s">
        <v>359</v>
      </c>
      <c r="B40" s="2" t="s">
        <v>370</v>
      </c>
      <c r="C40" s="2"/>
      <c r="D40" s="5">
        <v>1</v>
      </c>
    </row>
    <row r="41" spans="1:4" x14ac:dyDescent="0.25">
      <c r="A41" s="2" t="s">
        <v>359</v>
      </c>
      <c r="B41" s="2" t="s">
        <v>192</v>
      </c>
      <c r="C41" s="2"/>
      <c r="D41" s="5">
        <v>1</v>
      </c>
    </row>
    <row r="42" spans="1:4" x14ac:dyDescent="0.25">
      <c r="A42" s="2" t="s">
        <v>359</v>
      </c>
      <c r="B42" s="2" t="s">
        <v>371</v>
      </c>
      <c r="C42" s="2"/>
      <c r="D42" s="5">
        <v>1</v>
      </c>
    </row>
    <row r="43" spans="1:4" x14ac:dyDescent="0.25">
      <c r="A43" s="2" t="s">
        <v>359</v>
      </c>
      <c r="B43" s="2" t="s">
        <v>372</v>
      </c>
      <c r="C43" s="2"/>
      <c r="D43" s="5">
        <v>1</v>
      </c>
    </row>
    <row r="44" spans="1:4" x14ac:dyDescent="0.25">
      <c r="A44" s="2" t="s">
        <v>359</v>
      </c>
      <c r="B44" s="2" t="s">
        <v>373</v>
      </c>
      <c r="C44" s="2"/>
      <c r="D44" s="5">
        <v>1</v>
      </c>
    </row>
    <row r="45" spans="1:4" x14ac:dyDescent="0.25">
      <c r="A45" s="2" t="s">
        <v>359</v>
      </c>
      <c r="B45" s="2" t="s">
        <v>200</v>
      </c>
      <c r="C45" s="2"/>
      <c r="D45" s="5">
        <v>1</v>
      </c>
    </row>
    <row r="46" spans="1:4" x14ac:dyDescent="0.25">
      <c r="A46" s="2" t="s">
        <v>359</v>
      </c>
      <c r="B46" s="2" t="s">
        <v>374</v>
      </c>
      <c r="C46" s="2"/>
      <c r="D46" s="5">
        <v>1</v>
      </c>
    </row>
    <row r="47" spans="1:4" x14ac:dyDescent="0.25">
      <c r="A47" s="2" t="s">
        <v>359</v>
      </c>
      <c r="B47" s="2" t="s">
        <v>375</v>
      </c>
      <c r="C47" s="2"/>
      <c r="D47" s="5">
        <v>1</v>
      </c>
    </row>
    <row r="48" spans="1:4" x14ac:dyDescent="0.25">
      <c r="A48" s="2" t="s">
        <v>359</v>
      </c>
      <c r="B48" s="2" t="s">
        <v>376</v>
      </c>
      <c r="C48" s="2"/>
      <c r="D48" s="5">
        <v>1</v>
      </c>
    </row>
    <row r="49" spans="1:4" x14ac:dyDescent="0.25">
      <c r="A49" s="2" t="s">
        <v>359</v>
      </c>
      <c r="B49" s="2" t="s">
        <v>377</v>
      </c>
      <c r="C49" s="2"/>
      <c r="D49" s="5">
        <v>1</v>
      </c>
    </row>
  </sheetData>
  <mergeCells count="3">
    <mergeCell ref="A2:E2"/>
    <mergeCell ref="A1:E1"/>
    <mergeCell ref="A21:D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showGridLines="0" workbookViewId="0"/>
  </sheetViews>
  <sheetFormatPr defaultRowHeight="15" x14ac:dyDescent="0.25"/>
  <cols>
    <col min="1" max="1" width="48" customWidth="1"/>
    <col min="2" max="3" width="12" customWidth="1"/>
  </cols>
  <sheetData>
    <row r="1" spans="1:4" ht="30" customHeight="1" x14ac:dyDescent="0.25">
      <c r="A1" s="24" t="s">
        <v>378</v>
      </c>
      <c r="B1" s="18"/>
      <c r="C1" s="18"/>
      <c r="D1" s="18"/>
    </row>
    <row r="2" spans="1:4" ht="18" customHeight="1" x14ac:dyDescent="0.25">
      <c r="A2" s="29" t="s">
        <v>379</v>
      </c>
      <c r="B2" s="18"/>
      <c r="C2" s="18"/>
      <c r="D2" s="18"/>
    </row>
    <row r="4" spans="1:4" x14ac:dyDescent="0.25">
      <c r="A4" s="1" t="s">
        <v>380</v>
      </c>
      <c r="B4" s="1" t="s">
        <v>381</v>
      </c>
      <c r="C4" s="1" t="s">
        <v>382</v>
      </c>
    </row>
    <row r="5" spans="1:4" x14ac:dyDescent="0.25">
      <c r="A5" s="2" t="s">
        <v>383</v>
      </c>
      <c r="B5" s="5">
        <v>1201</v>
      </c>
      <c r="C5" s="6">
        <v>0.1027110236893868</v>
      </c>
    </row>
    <row r="6" spans="1:4" x14ac:dyDescent="0.25">
      <c r="A6" s="2" t="s">
        <v>384</v>
      </c>
      <c r="B6" s="5">
        <v>1566</v>
      </c>
      <c r="C6" s="6">
        <v>4.3443282381335477E-2</v>
      </c>
    </row>
    <row r="7" spans="1:4" x14ac:dyDescent="0.25">
      <c r="A7" s="2" t="s">
        <v>385</v>
      </c>
      <c r="B7" s="5">
        <v>290</v>
      </c>
      <c r="C7" s="6"/>
    </row>
    <row r="8" spans="1:4" x14ac:dyDescent="0.25">
      <c r="A8" s="2" t="s">
        <v>386</v>
      </c>
      <c r="B8" s="5">
        <v>331</v>
      </c>
      <c r="C8" s="6"/>
    </row>
    <row r="9" spans="1:4" x14ac:dyDescent="0.25">
      <c r="A9" s="2" t="s">
        <v>387</v>
      </c>
      <c r="B9" s="5">
        <v>3620</v>
      </c>
      <c r="C9" s="6"/>
    </row>
    <row r="11" spans="1:4" x14ac:dyDescent="0.25">
      <c r="A11" s="30" t="s">
        <v>388</v>
      </c>
      <c r="B11" s="18"/>
      <c r="C11" s="18"/>
    </row>
    <row r="12" spans="1:4" x14ac:dyDescent="0.25">
      <c r="A12" s="18"/>
      <c r="B12" s="18"/>
      <c r="C12" s="18"/>
    </row>
  </sheetData>
  <mergeCells count="3">
    <mergeCell ref="A11:C12"/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E10"/>
  <sheetViews>
    <sheetView showGridLines="0" workbookViewId="0"/>
  </sheetViews>
  <sheetFormatPr defaultRowHeight="15" x14ac:dyDescent="0.25"/>
  <cols>
    <col min="1" max="1" width="10" customWidth="1"/>
    <col min="2" max="2" width="64" customWidth="1"/>
    <col min="3" max="3" width="30" customWidth="1"/>
    <col min="4" max="4" width="24" customWidth="1"/>
    <col min="5" max="5" width="36" customWidth="1"/>
  </cols>
  <sheetData>
    <row r="1" spans="1:5" ht="30" customHeight="1" x14ac:dyDescent="0.25">
      <c r="A1" s="24" t="s">
        <v>389</v>
      </c>
      <c r="B1" s="18"/>
      <c r="C1" s="18"/>
      <c r="D1" s="18"/>
      <c r="E1" s="18"/>
    </row>
    <row r="2" spans="1:5" ht="18" customHeight="1" x14ac:dyDescent="0.25">
      <c r="A2" s="29" t="s">
        <v>390</v>
      </c>
      <c r="B2" s="18"/>
      <c r="C2" s="18"/>
      <c r="D2" s="18"/>
      <c r="E2" s="18"/>
    </row>
    <row r="4" spans="1:5" x14ac:dyDescent="0.25">
      <c r="A4" s="1" t="s">
        <v>391</v>
      </c>
      <c r="B4" s="1" t="s">
        <v>392</v>
      </c>
      <c r="C4" s="1" t="s">
        <v>393</v>
      </c>
      <c r="D4" s="1" t="s">
        <v>394</v>
      </c>
      <c r="E4" s="1" t="s">
        <v>395</v>
      </c>
    </row>
    <row r="5" spans="1:5" ht="42" customHeight="1" x14ac:dyDescent="0.25">
      <c r="A5" s="15" t="s">
        <v>396</v>
      </c>
      <c r="B5" s="16" t="s">
        <v>397</v>
      </c>
      <c r="C5" s="16" t="s">
        <v>398</v>
      </c>
      <c r="D5" s="16" t="s">
        <v>399</v>
      </c>
      <c r="E5" s="16" t="s">
        <v>400</v>
      </c>
    </row>
    <row r="6" spans="1:5" ht="42" customHeight="1" x14ac:dyDescent="0.25">
      <c r="A6" s="15" t="s">
        <v>401</v>
      </c>
      <c r="B6" s="16" t="s">
        <v>402</v>
      </c>
      <c r="C6" s="16" t="s">
        <v>403</v>
      </c>
      <c r="D6" s="16" t="s">
        <v>404</v>
      </c>
      <c r="E6" s="16" t="s">
        <v>405</v>
      </c>
    </row>
    <row r="7" spans="1:5" ht="42" customHeight="1" x14ac:dyDescent="0.25">
      <c r="A7" s="15" t="s">
        <v>406</v>
      </c>
      <c r="B7" s="16" t="s">
        <v>407</v>
      </c>
      <c r="C7" s="16" t="s">
        <v>408</v>
      </c>
      <c r="D7" s="16" t="s">
        <v>409</v>
      </c>
      <c r="E7" s="16" t="s">
        <v>410</v>
      </c>
    </row>
    <row r="8" spans="1:5" ht="42" customHeight="1" x14ac:dyDescent="0.25">
      <c r="A8" s="15" t="s">
        <v>411</v>
      </c>
      <c r="B8" s="16" t="s">
        <v>412</v>
      </c>
      <c r="C8" s="16" t="s">
        <v>413</v>
      </c>
      <c r="D8" s="16" t="s">
        <v>414</v>
      </c>
      <c r="E8" s="16" t="s">
        <v>415</v>
      </c>
    </row>
    <row r="9" spans="1:5" ht="42" customHeight="1" x14ac:dyDescent="0.25">
      <c r="A9" s="15" t="s">
        <v>416</v>
      </c>
      <c r="B9" s="16" t="s">
        <v>417</v>
      </c>
      <c r="C9" s="16" t="s">
        <v>418</v>
      </c>
      <c r="D9" s="16" t="s">
        <v>419</v>
      </c>
      <c r="E9" s="16" t="s">
        <v>420</v>
      </c>
    </row>
    <row r="10" spans="1:5" ht="42" customHeight="1" x14ac:dyDescent="0.25">
      <c r="A10" s="15" t="s">
        <v>421</v>
      </c>
      <c r="B10" s="16" t="s">
        <v>422</v>
      </c>
      <c r="C10" s="16" t="s">
        <v>423</v>
      </c>
      <c r="D10" s="16" t="s">
        <v>399</v>
      </c>
      <c r="E10" s="16" t="s">
        <v>424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By Product Type</vt:lpstr>
      <vt:lpstr>Option Types</vt:lpstr>
      <vt:lpstr>Color Values</vt:lpstr>
      <vt:lpstr>Size Values</vt:lpstr>
      <vt:lpstr>Data Quality</vt:lpstr>
      <vt:lpstr>Metafield Status</vt:lpstr>
      <vt:lpstr>Fix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Horsley</cp:lastModifiedBy>
  <dcterms:created xsi:type="dcterms:W3CDTF">2026-06-11T02:11:58Z</dcterms:created>
  <dcterms:modified xsi:type="dcterms:W3CDTF">2026-06-11T02:12:11Z</dcterms:modified>
</cp:coreProperties>
</file>