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A:\TKBS Marketing - Git\Shopify-Website-Builder\"/>
    </mc:Choice>
  </mc:AlternateContent>
  <xr:revisionPtr revIDLastSave="0" documentId="13_ncr:1_{5743F77F-8FAD-406F-A16C-C287CE51B461}" xr6:coauthVersionLast="47" xr6:coauthVersionMax="47" xr10:uidLastSave="{00000000-0000-0000-0000-000000000000}"/>
  <bookViews>
    <workbookView xWindow="43095" yWindow="450" windowWidth="30360" windowHeight="17040" xr2:uid="{00000000-000D-0000-FFFF-FFFF00000000}"/>
  </bookViews>
  <sheets>
    <sheet name="Executive Summary" sheetId="1" r:id="rId1"/>
    <sheet name="Product SEO" sheetId="2" r:id="rId2"/>
    <sheet name="Collection SEO" sheetId="3" r:id="rId3"/>
    <sheet name="Technical SEO" sheetId="4" r:id="rId4"/>
    <sheet name="Pages &amp; Blog" sheetId="5" r:id="rId5"/>
    <sheet name="Local SEO &amp; Entity" sheetId="6" r:id="rId6"/>
    <sheet name="AEO Readiness" sheetId="7" r:id="rId7"/>
    <sheet name="Fix Roadmap" sheetId="8" r:id="rId8"/>
  </sheets>
  <definedNames>
    <definedName name="_xlnm._FilterDatabase" localSheetId="2" hidden="1">'Collection SEO'!$A$4:$I$259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2" l="1"/>
  <c r="C14" i="2"/>
  <c r="E13" i="2"/>
  <c r="C13" i="2"/>
  <c r="E12" i="2"/>
  <c r="C12" i="2"/>
  <c r="E11" i="2"/>
  <c r="C11" i="2"/>
  <c r="E10" i="2"/>
  <c r="C10" i="2"/>
  <c r="E9" i="2"/>
  <c r="C9" i="2"/>
  <c r="E8" i="2"/>
  <c r="C8" i="2"/>
  <c r="E7" i="2"/>
  <c r="C7" i="2"/>
  <c r="E6" i="2"/>
  <c r="C6" i="2"/>
  <c r="E5" i="2"/>
  <c r="C5" i="2"/>
  <c r="C31" i="1"/>
  <c r="C30" i="1"/>
  <c r="C29" i="1"/>
  <c r="C17" i="1"/>
  <c r="C16" i="1"/>
  <c r="C15" i="1"/>
  <c r="C14" i="1"/>
  <c r="C13" i="1"/>
  <c r="C12" i="1"/>
  <c r="C11" i="1"/>
  <c r="C10" i="1"/>
</calcChain>
</file>

<file path=xl/sharedStrings.xml><?xml version="1.0" encoding="utf-8"?>
<sst xmlns="http://schemas.openxmlformats.org/spreadsheetml/2006/main" count="2293" uniqueCount="1073">
  <si>
    <t>The Clothing Cove — SEO &amp; AEO Plan</t>
  </si>
  <si>
    <t>Audit date: June 10, 2026  |  theclothingcove.com  |  Scope: in-stock products (11,693)  |  Source: Shopify Admin API + live site crawl</t>
  </si>
  <si>
    <t>IN-STOCK MISSING SEO TITLE</t>
  </si>
  <si>
    <t>IN-STOCK MISSING TAGS</t>
  </si>
  <si>
    <t>COLLECTIONS WITHOUT DESCRIPTION</t>
  </si>
  <si>
    <t>LAST BLOG POST</t>
  </si>
  <si>
    <t>Apr 2023</t>
  </si>
  <si>
    <t>8,459 products</t>
  </si>
  <si>
    <t>10,966 products</t>
  </si>
  <si>
    <t>423 of 544 collections</t>
  </si>
  <si>
    <t>no fresh content for AI/Google to cite</t>
  </si>
  <si>
    <t>PRODUCT SEO GAPS — IN-STOCK PRODUCTS (the work scope)</t>
  </si>
  <si>
    <t>Gap</t>
  </si>
  <si>
    <t>In-Stock</t>
  </si>
  <si>
    <t>% of in-stock</t>
  </si>
  <si>
    <t>Full catalog (ref)</t>
  </si>
  <si>
    <t>Severity</t>
  </si>
  <si>
    <t>Missing SEO title tag</t>
  </si>
  <si>
    <t>CRITICAL</t>
  </si>
  <si>
    <t>Missing tags</t>
  </si>
  <si>
    <t>Missing meta description</t>
  </si>
  <si>
    <t>Missing ALL product images</t>
  </si>
  <si>
    <t>Missing description (body)</t>
  </si>
  <si>
    <t>Duplicate titles</t>
  </si>
  <si>
    <t>WARNING</t>
  </si>
  <si>
    <t>Short description (&lt;100 chars)</t>
  </si>
  <si>
    <t>No alt text on any image</t>
  </si>
  <si>
    <t>COLLECTION PAGES — category-level content Google &amp; AI rely on</t>
  </si>
  <si>
    <t>Description status</t>
  </si>
  <si>
    <t>Collections</t>
  </si>
  <si>
    <t>% of all</t>
  </si>
  <si>
    <t>No description</t>
  </si>
  <si>
    <t>Short (&lt;100 chars)</t>
  </si>
  <si>
    <t>Good (100+ chars)</t>
  </si>
  <si>
    <t>Total collections</t>
  </si>
  <si>
    <t>In site navigation (shopper-visible)</t>
  </si>
  <si>
    <t>Navigable collections needing SEO work</t>
  </si>
  <si>
    <t>Missing custom SEO title</t>
  </si>
  <si>
    <t>Empty (0 products)</t>
  </si>
  <si>
    <t>TECHNICAL &amp; AEO SNAPSHOT (live site, June 10, 2026)</t>
  </si>
  <si>
    <t>Check</t>
  </si>
  <si>
    <t>Status</t>
  </si>
  <si>
    <t>Homepage title tag</t>
  </si>
  <si>
    <t>“The Clothing Cove” — no keywords or location</t>
  </si>
  <si>
    <t>May 2026 theme SEO work</t>
  </si>
  <si>
    <t>Sits on an UNPUBLISHED theme — not live</t>
  </si>
  <si>
    <t>Collection meta descriptions</t>
  </si>
  <si>
    <t>Missing on live collection pages (e.g. /dresses)</t>
  </si>
  <si>
    <t>Product structured data (JSON-LD)</t>
  </si>
  <si>
    <t>Present via app — Product, Offer, Brand</t>
  </si>
  <si>
    <t>OK</t>
  </si>
  <si>
    <t>Store schema on homepage</t>
  </si>
  <si>
    <t>ClothingStore with NAP + hours present</t>
  </si>
  <si>
    <t>Open Graph / Twitter cards</t>
  </si>
  <si>
    <t>Present via app on live pages</t>
  </si>
  <si>
    <t>Collection filters</t>
  </si>
  <si>
    <t>Only Availability + Price — no Color/Size/Brand</t>
  </si>
  <si>
    <t>Blog freshness</t>
  </si>
  <si>
    <t>Last post April 2023</t>
  </si>
  <si>
    <t>BLOG ACTIVITY BY YEAR — fresh content is what AI assistants cite</t>
  </si>
  <si>
    <t>Year</t>
  </si>
  <si>
    <t>Articles published</t>
  </si>
  <si>
    <t>2020</t>
  </si>
  <si>
    <t>2021</t>
  </si>
  <si>
    <t>2022</t>
  </si>
  <si>
    <t>2023</t>
  </si>
  <si>
    <t>2024</t>
  </si>
  <si>
    <t>2025</t>
  </si>
  <si>
    <t>2026</t>
  </si>
  <si>
    <t>Product SEO — Detail</t>
  </si>
  <si>
    <t>In-stock scope: 11,693 products. Full-catalog figures shown for reference only.</t>
  </si>
  <si>
    <t>Issue</t>
  </si>
  <si>
    <t>% In-Stock</t>
  </si>
  <si>
    <t>Full Catalog</t>
  </si>
  <si>
    <t>% Catalog</t>
  </si>
  <si>
    <t>Impact</t>
  </si>
  <si>
    <t>Fix Approach</t>
  </si>
  <si>
    <t>Google shows auto-generated titles; no keyword targeting.</t>
  </si>
  <si>
    <t>Bulk-generate from title + brand + category</t>
  </si>
  <si>
    <t>No filtering, categorization, or AI taxonomy signals.</t>
  </si>
  <si>
    <t>Bulk-tag from type + vendor + attributes</t>
  </si>
  <si>
    <t>Google writes its own snippet; lower click-through.</t>
  </si>
  <si>
    <t>Bulk-generate benefit-led snippets</t>
  </si>
  <si>
    <t>Missing ALL images</t>
  </si>
  <si>
    <t>Invisible to image search, Shopping, and social.</t>
  </si>
  <si>
    <t>Photograph or hide until photographed</t>
  </si>
  <si>
    <t>Nothing for Google or AI to index — product is invisible.</t>
  </si>
  <si>
    <t>Generate from title/vendor/type, then review</t>
  </si>
  <si>
    <t>Thin content ranks poorly; AI skips it.</t>
  </si>
  <si>
    <t>Expand with fabric/fit/occasion copy</t>
  </si>
  <si>
    <t>Images without alt text</t>
  </si>
  <si>
    <t>Of 18,346 in-stock images. Missed image SEO + accessibility.</t>
  </si>
  <si>
    <t>Script alt = title + color</t>
  </si>
  <si>
    <t>No alt text on ANY image</t>
  </si>
  <si>
    <t>Whole product invisible to image search.</t>
  </si>
  <si>
    <t>Same script — run these first</t>
  </si>
  <si>
    <t>Duplicate titles (57 titles shared)</t>
  </si>
  <si>
    <t>Products compete with each other in search.</t>
  </si>
  <si>
    <t>Differentiate with color/style descriptors</t>
  </si>
  <si>
    <t>Missing product type</t>
  </si>
  <si>
    <t>Minor gap.</t>
  </si>
  <si>
    <t>Fill from vendor catalog</t>
  </si>
  <si>
    <t>Collection SEO — Navigable Collections Worklist</t>
  </si>
  <si>
    <t>255 collections reachable from site navigation  |  251 need SEO work  |  store has 544 collections total (69 empty)</t>
  </si>
  <si>
    <t>Category</t>
  </si>
  <si>
    <t>URL</t>
  </si>
  <si>
    <t>Title</t>
  </si>
  <si>
    <t>Products</t>
  </si>
  <si>
    <t>Description?</t>
  </si>
  <si>
    <t>Desc Length</t>
  </si>
  <si>
    <t>Custom SEO Title?</t>
  </si>
  <si>
    <t>Proposed SEO Title</t>
  </si>
  <si>
    <t>Needs Work</t>
  </si>
  <si>
    <t>Top-Level</t>
  </si>
  <si>
    <t>/collections/a-rare-bird</t>
  </si>
  <si>
    <t>A Rare Bird</t>
  </si>
  <si>
    <t>No</t>
  </si>
  <si>
    <t>A Rare Bird for Women | The Clothing Cove – Milford, MI</t>
  </si>
  <si>
    <t>Yes</t>
  </si>
  <si>
    <t>/collections/accessories</t>
  </si>
  <si>
    <t>Accessories</t>
  </si>
  <si>
    <t>Accessories for Women | The Clothing Cove – Milford, MI</t>
  </si>
  <si>
    <t>/collections/brands</t>
  </si>
  <si>
    <t>Brands</t>
  </si>
  <si>
    <t>Brands for Women | The Clothing Cove – Milford, MI</t>
  </si>
  <si>
    <t>/collections/brighton</t>
  </si>
  <si>
    <t>Brighton</t>
  </si>
  <si>
    <t>Brighton for Women | The Clothing Cove – Milford, MI</t>
  </si>
  <si>
    <t>/collections/clothing</t>
  </si>
  <si>
    <t>Clothing</t>
  </si>
  <si>
    <t>Clothing for Women | The Clothing Cove – Milford, MI</t>
  </si>
  <si>
    <t>/collections/customer-apprecation</t>
  </si>
  <si>
    <t>Customer Appreciation</t>
  </si>
  <si>
    <t>Customer Appreciation | The Clothing Cove</t>
  </si>
  <si>
    <t>/collections/dresses</t>
  </si>
  <si>
    <t>Dresses</t>
  </si>
  <si>
    <t>Dresses for Women | The Clothing Cove – Milford, MI</t>
  </si>
  <si>
    <t>/collections/erin-gray-jewelry</t>
  </si>
  <si>
    <t>Erin Gray Jewelry</t>
  </si>
  <si>
    <t>Erin Gray Jewelry | The Clothing Cove</t>
  </si>
  <si>
    <t>/collections/gift-cards-on-line-e-gift-cards</t>
  </si>
  <si>
    <t>Gift Cards \ On-Line e-Gift Cards</t>
  </si>
  <si>
    <t>On-Line e-Gift Cards | The Clothing Cove</t>
  </si>
  <si>
    <t>/collections/home-pillows</t>
  </si>
  <si>
    <t>Home \ Pillows</t>
  </si>
  <si>
    <t>Pillows for Women | The Clothing Cove – Milford, MI</t>
  </si>
  <si>
    <t>/collections/home-tea-towels</t>
  </si>
  <si>
    <t>Home \ Tea Towels</t>
  </si>
  <si>
    <t>Short</t>
  </si>
  <si>
    <t>Tea Towels for Women | The Clothing Cove – Milford, MI</t>
  </si>
  <si>
    <t>/collections/judy-blue</t>
  </si>
  <si>
    <t>Judy Blue</t>
  </si>
  <si>
    <t>Judy Blue for Women | The Clothing Cove – Milford, MI</t>
  </si>
  <si>
    <t>/collections/new-arrivals</t>
  </si>
  <si>
    <t>New Products</t>
  </si>
  <si>
    <t>New Products for Women | The Clothing Cove – Milford, MI</t>
  </si>
  <si>
    <t>/collections/radzoli</t>
  </si>
  <si>
    <t>Radzoli</t>
  </si>
  <si>
    <t>Radzoli for Women | The Clothing Cove – Milford, MI</t>
  </si>
  <si>
    <t>/collections/readers</t>
  </si>
  <si>
    <t>Accessories \ Accessories \ Reading Glasses</t>
  </si>
  <si>
    <t>Reading Glasses for Women | The Clothing Cove – Milford, MI</t>
  </si>
  <si>
    <t>/collections/sale</t>
  </si>
  <si>
    <t>Sale</t>
  </si>
  <si>
    <t>Sale for Women | The Clothing Cove – Milford, MI</t>
  </si>
  <si>
    <t>/collections/shop-with-purpose</t>
  </si>
  <si>
    <t>Shop With Purpose</t>
  </si>
  <si>
    <t>Shop With Purpose | The Clothing Cove</t>
  </si>
  <si>
    <t>/collections/spa</t>
  </si>
  <si>
    <t>Accessories \ Accessories \ Spa</t>
  </si>
  <si>
    <t>Spa for Women | The Clothing Cove – Milford, MI</t>
  </si>
  <si>
    <t>/collections/sympli</t>
  </si>
  <si>
    <t>Sympli</t>
  </si>
  <si>
    <t>/collections/trust-your-journey</t>
  </si>
  <si>
    <t>Trust Your Journey</t>
  </si>
  <si>
    <t>Trust Your Journey | The Clothing Cove</t>
  </si>
  <si>
    <t>Subcategory</t>
  </si>
  <si>
    <t>/collections/accessories-accessories</t>
  </si>
  <si>
    <t>Accessories \ Accessories</t>
  </si>
  <si>
    <t>Women's Accessories | The Clothing Cove</t>
  </si>
  <si>
    <t>/collections/accessories-accessories-belts-1</t>
  </si>
  <si>
    <t>Accessories \ Accessories \ Belts</t>
  </si>
  <si>
    <t>Women's Belts | The Clothing Cove</t>
  </si>
  <si>
    <t>/collections/accessories-accessories-candles</t>
  </si>
  <si>
    <t>Accessories \ Accessories \ Candles</t>
  </si>
  <si>
    <t>Women's Candles | The Clothing Cove</t>
  </si>
  <si>
    <t>/collections/accessories-accessories-fragrance</t>
  </si>
  <si>
    <t>Accessories \ Accessories \ Fragrance</t>
  </si>
  <si>
    <t>Women's Fragrance | The Clothing Cove</t>
  </si>
  <si>
    <t>/collections/accessories-accessories-hats</t>
  </si>
  <si>
    <t>Accessories \ Accessories \ Hats</t>
  </si>
  <si>
    <t>Women's Hats | The Clothing Cove</t>
  </si>
  <si>
    <t>/collections/accessories-accessories-hats-and-gloves</t>
  </si>
  <si>
    <t>Accessories \ Accessories \ Winter Hats, Gloves &amp; Scarves</t>
  </si>
  <si>
    <t>Women's Winter Hats, Gloves &amp; Scarves | The Clothing Cove</t>
  </si>
  <si>
    <t>/collections/accessories-accessories-lip-balm</t>
  </si>
  <si>
    <t>Accessories \ Accessories \ Lip Balm</t>
  </si>
  <si>
    <t>Women's Lip Balm | The Clothing Cove</t>
  </si>
  <si>
    <t>/collections/accessories-accessories-lotion</t>
  </si>
  <si>
    <t>Accessories \ Accessories \ Lotion</t>
  </si>
  <si>
    <t>Women's Lotion | The Clothing Cove</t>
  </si>
  <si>
    <t>/collections/accessories-accessories-scarves</t>
  </si>
  <si>
    <t>Accessories \ Accessories \ Scarves</t>
  </si>
  <si>
    <t>Women's Scarves | The Clothing Cove</t>
  </si>
  <si>
    <t>/collections/accessories-accessories-small-accessories</t>
  </si>
  <si>
    <t>Accessories \ Accessories \ Small Accessories</t>
  </si>
  <si>
    <t>Women's Small Accessories | The Clothing Cove</t>
  </si>
  <si>
    <t>/collections/accessories-accessories-soap</t>
  </si>
  <si>
    <t>Accessories \ Accessories \ Soap</t>
  </si>
  <si>
    <t>Women's Soap | The Clothing Cove</t>
  </si>
  <si>
    <t>/collections/accessories-accessories-sunglasses</t>
  </si>
  <si>
    <t>Accessories \ Accessories \ Sunglasses</t>
  </si>
  <si>
    <t>Women's Sunglasses | The Clothing Cove</t>
  </si>
  <si>
    <t>/collections/accessories-footwear</t>
  </si>
  <si>
    <t>Accessories \ Footwear</t>
  </si>
  <si>
    <t>Women's Footwear | The Clothing Cove</t>
  </si>
  <si>
    <t>/collections/accessories-footwear-casual</t>
  </si>
  <si>
    <t>Accessories \ Footwear \ Casual</t>
  </si>
  <si>
    <t>Women's Casual | The Clothing Cove</t>
  </si>
  <si>
    <t>/collections/accessories-footwear-dressy</t>
  </si>
  <si>
    <t>Accessories \ Footwear \ Dressy</t>
  </si>
  <si>
    <t>Women's Dressy | The Clothing Cove</t>
  </si>
  <si>
    <t>/collections/accessories-footwear-shoe-accessories</t>
  </si>
  <si>
    <t>Accessories \ Footwear \ Shoe Accessories</t>
  </si>
  <si>
    <t>Women's Shoe Accessories | The Clothing Cove</t>
  </si>
  <si>
    <t>/collections/accessories-footwear-slippers</t>
  </si>
  <si>
    <t>Accessories \ Footwear \ Slippers</t>
  </si>
  <si>
    <t>Women's Slippers | The Clothing Cove</t>
  </si>
  <si>
    <t>/collections/accessories-footwear-socks</t>
  </si>
  <si>
    <t>Accessories \ Footwear \ Socks</t>
  </si>
  <si>
    <t>Women's Socks | The Clothing Cove</t>
  </si>
  <si>
    <t>/collections/accessories-handbags</t>
  </si>
  <si>
    <t>Accessories \ Handbags</t>
  </si>
  <si>
    <t>Women's Handbags | The Clothing Cove</t>
  </si>
  <si>
    <t>/collections/accessories-handbags-casual</t>
  </si>
  <si>
    <t>Accessories \ Handbags \ Casual</t>
  </si>
  <si>
    <t>/collections/accessories-handbags-evening</t>
  </si>
  <si>
    <t>Accessories \ Handbags \ Evening</t>
  </si>
  <si>
    <t>Women's Evening | The Clothing Cove</t>
  </si>
  <si>
    <t>/collections/accessories-handbags-recycled-canvas-bags</t>
  </si>
  <si>
    <t>Accessories \ Handbags \ Recycled Canvas Bags</t>
  </si>
  <si>
    <t>Women's Recycled Canvas Bags | The Clothing Cove</t>
  </si>
  <si>
    <t>/collections/accessories-handbags-travel</t>
  </si>
  <si>
    <t>Accessories \ Handbags \ Travel</t>
  </si>
  <si>
    <t>Women's Travel | The Clothing Cove</t>
  </si>
  <si>
    <t>/collections/accessories-handbags-wallets</t>
  </si>
  <si>
    <t>Accessories \ Handbags \ Wallets</t>
  </si>
  <si>
    <t>Women's Wallets | The Clothing Cove</t>
  </si>
  <si>
    <t>/collections/accessories-jewelry</t>
  </si>
  <si>
    <t>Accessories \ Jewelry</t>
  </si>
  <si>
    <t>Women's Jewelry | The Clothing Cove</t>
  </si>
  <si>
    <t>/collections/accessories-jewelry-bracelets</t>
  </si>
  <si>
    <t>Accessories \ Jewelry \ Bracelets</t>
  </si>
  <si>
    <t>Women's Bracelets | The Clothing Cove</t>
  </si>
  <si>
    <t>/collections/accessories-jewelry-brooches</t>
  </si>
  <si>
    <t>Accessories \ Jewelry \ Brooches</t>
  </si>
  <si>
    <t>Women's Brooches | The Clothing Cove</t>
  </si>
  <si>
    <t>/collections/accessories-jewelry-designer</t>
  </si>
  <si>
    <t>Accessories \ Jewelry \ Designer</t>
  </si>
  <si>
    <t>Women's Designer | The Clothing Cove</t>
  </si>
  <si>
    <t>/collections/accessories-jewelry-earrings</t>
  </si>
  <si>
    <t>Accessories \ Jewelry \ Earrings</t>
  </si>
  <si>
    <t>Women's Earrings | The Clothing Cove</t>
  </si>
  <si>
    <t>/collections/accessories-jewelry-fashion-jewelry</t>
  </si>
  <si>
    <t>Accessories \ Jewelry \ Fashion Jewelry</t>
  </si>
  <si>
    <t>Women's Fashion Jewelry | The Clothing Cove</t>
  </si>
  <si>
    <t>/collections/accessories-jewelry-necklaces</t>
  </si>
  <si>
    <t>Accessories \ Jewelry \ Necklaces</t>
  </si>
  <si>
    <t>Women's Necklaces | The Clothing Cove</t>
  </si>
  <si>
    <t>/collections/accessories-jewelry-rachel-marie-designs</t>
  </si>
  <si>
    <t>Accessories \ Jewelry \ Rachel Marie Designs</t>
  </si>
  <si>
    <t>Women's Rachel Marie Designs | The Clothing Cove</t>
  </si>
  <si>
    <t>/collections/accessories-jewelry-usa-made</t>
  </si>
  <si>
    <t>Accessories \ Jewelry \ USA Made</t>
  </si>
  <si>
    <t>Women's USA Made | The Clothing Cove</t>
  </si>
  <si>
    <t>/collections/brighton-accessories</t>
  </si>
  <si>
    <t>Brighton \ Accessories</t>
  </si>
  <si>
    <t>/collections/brighton-accessories-badge-clips</t>
  </si>
  <si>
    <t>Brighton \ Accessories \ Badge Clips</t>
  </si>
  <si>
    <t>Women's Badge Clips | The Clothing Cove</t>
  </si>
  <si>
    <t>/collections/brighton-accessories-belts</t>
  </si>
  <si>
    <t>Brighton \ Accessories \ Belts</t>
  </si>
  <si>
    <t>/collections/brighton-accessories-hair</t>
  </si>
  <si>
    <t>Brighton \ Accessories \ Hair</t>
  </si>
  <si>
    <t>Women's Hair | The Clothing Cove</t>
  </si>
  <si>
    <t>/collections/brighton-accessories-home</t>
  </si>
  <si>
    <t>Brighton \ Accessories \ Home</t>
  </si>
  <si>
    <t>Women's Home | The Clothing Cove</t>
  </si>
  <si>
    <t>/collections/brighton-accessories-keyfobs</t>
  </si>
  <si>
    <t>Brighton \ Accessories \ Keyfobs</t>
  </si>
  <si>
    <t>Women's Keyfobs | The Clothing Cove</t>
  </si>
  <si>
    <t>/collections/brighton-accessories-mens</t>
  </si>
  <si>
    <t>Brighton \ Accessories \ Mens</t>
  </si>
  <si>
    <t>Women's Mens | The Clothing Cove</t>
  </si>
  <si>
    <t>/collections/brighton-accessories-travel</t>
  </si>
  <si>
    <t>Brighton \ Accessories \ Travel</t>
  </si>
  <si>
    <t>/collections/brighton-brighton-holiday-gifts-christmas-jewelry</t>
  </si>
  <si>
    <t>Brighton \ Brighton Holiday Gifts \ Christmas Jewelry</t>
  </si>
  <si>
    <t>Women's Christmas Jewelry | The Clothing Cove</t>
  </si>
  <si>
    <t>/collections/brighton-charms</t>
  </si>
  <si>
    <t>Brighton \ Charms</t>
  </si>
  <si>
    <t>Women's Charms | The Clothing Cove</t>
  </si>
  <si>
    <t>/collections/brighton-charms-amulets</t>
  </si>
  <si>
    <t>Brighton \ Charms \ Amulets</t>
  </si>
  <si>
    <t>Women's Amulets | The Clothing Cove</t>
  </si>
  <si>
    <t>/collections/brighton-charms-beads</t>
  </si>
  <si>
    <t>Brighton \ Charms \ Beads</t>
  </si>
  <si>
    <t>Women's Beads | The Clothing Cove</t>
  </si>
  <si>
    <t>/collections/brighton-charms-charms</t>
  </si>
  <si>
    <t>Brighton \ Charms \ Charms</t>
  </si>
  <si>
    <t>/collections/brighton-charms-seasonal</t>
  </si>
  <si>
    <t>Brighton \ Charms \ Seasonal</t>
  </si>
  <si>
    <t>Women's Seasonal | The Clothing Cove</t>
  </si>
  <si>
    <t>/collections/brighton-charms-spacers</t>
  </si>
  <si>
    <t>Brighton \ Charms \ Spacers</t>
  </si>
  <si>
    <t>Women's Spacers | The Clothing Cove</t>
  </si>
  <si>
    <t>/collections/brighton-charms-stoppers</t>
  </si>
  <si>
    <t>Brighton \ Charms \ Stoppers</t>
  </si>
  <si>
    <t>Women's Stoppers | The Clothing Cove</t>
  </si>
  <si>
    <t>/collections/brighton-collections</t>
  </si>
  <si>
    <t>Brighton \ Collections</t>
  </si>
  <si>
    <t>Women's Collections | The Clothing Cove</t>
  </si>
  <si>
    <t>/collections/brighton-collections-barbados</t>
  </si>
  <si>
    <t>Brighton \ Collections \ Barbados</t>
  </si>
  <si>
    <t>Women's Barbados | The Clothing Cove</t>
  </si>
  <si>
    <t>/collections/brighton-collections-christo</t>
  </si>
  <si>
    <t>Brighton \ Collections \ Christo</t>
  </si>
  <si>
    <t>Women's Christo | The Clothing Cove</t>
  </si>
  <si>
    <t>/collections/brighton-collections-coastal</t>
  </si>
  <si>
    <t>Brighton \ Collections \ Coastal</t>
  </si>
  <si>
    <t>Women's Coastal | The Clothing Cove</t>
  </si>
  <si>
    <t>/collections/brighton-collections-contempo</t>
  </si>
  <si>
    <t>Brighton \ Collections \ Contempo</t>
  </si>
  <si>
    <t>Women's Contempo | The Clothing Cove</t>
  </si>
  <si>
    <t>/collections/brighton-collections-ferrara</t>
  </si>
  <si>
    <t>Brighton \ Collections \ Ferrara</t>
  </si>
  <si>
    <t>Women's Ferrara | The Clothing Cove</t>
  </si>
  <si>
    <t>/collections/brighton-collections-halo</t>
  </si>
  <si>
    <t>Brighton \ Collections \ Halo</t>
  </si>
  <si>
    <t>Women's Halo | The Clothing Cove</t>
  </si>
  <si>
    <t>/collections/brighton-collections-interlok</t>
  </si>
  <si>
    <t>Brighton \ Collections \ Interlok</t>
  </si>
  <si>
    <t>Women's Interlok | The Clothing Cove</t>
  </si>
  <si>
    <t>/collections/brighton-collections-mingle</t>
  </si>
  <si>
    <t>Brighton \ Collections \ Mingle</t>
  </si>
  <si>
    <t>Women's Mingle | The Clothing Cove</t>
  </si>
  <si>
    <t>/collections/brighton-eyewear</t>
  </si>
  <si>
    <t>Brighton \ Eyewear</t>
  </si>
  <si>
    <t>Women's Eyewear | The Clothing Cove</t>
  </si>
  <si>
    <t>/collections/brighton-eyewear-holders</t>
  </si>
  <si>
    <t>Brighton \ Eyewear \ Holders</t>
  </si>
  <si>
    <t>Women's Holders | The Clothing Cove</t>
  </si>
  <si>
    <t>/collections/brighton-eyewear-readers</t>
  </si>
  <si>
    <t>Brighton \ Eyewear \ Readers</t>
  </si>
  <si>
    <t>Women's Readers | The Clothing Cove</t>
  </si>
  <si>
    <t>/collections/brighton-eyewear-sunglasses</t>
  </si>
  <si>
    <t>Brighton \ Eyewear \ Sunglasses</t>
  </si>
  <si>
    <t>/collections/brighton-handbags</t>
  </si>
  <si>
    <t>Brighton \ Handbags</t>
  </si>
  <si>
    <t>/collections/brighton-handbags-backpacks</t>
  </si>
  <si>
    <t>Brighton \ Handbags \ Backpacks</t>
  </si>
  <si>
    <t>Women's Backpacks | The Clothing Cove</t>
  </si>
  <si>
    <t>/collections/brighton-handbags-barbados-1</t>
  </si>
  <si>
    <t>Brighton \ Handbags \ Barbados</t>
  </si>
  <si>
    <t>/collections/brighton-handbags-bucket-bags</t>
  </si>
  <si>
    <t>Brighton \ Handbags \ Bucket Bags</t>
  </si>
  <si>
    <t>Women's Bucket Bags | The Clothing Cove</t>
  </si>
  <si>
    <t>/collections/brighton-handbags-card-cases</t>
  </si>
  <si>
    <t>Brighton \ Handbags \ Card Cases</t>
  </si>
  <si>
    <t>Women's Card Cases | The Clothing Cove</t>
  </si>
  <si>
    <t>/collections/brighton-handbags-crossbodies</t>
  </si>
  <si>
    <t>Brighton \ Handbags \ Crossbodies</t>
  </si>
  <si>
    <t>Women's Crossbodies | The Clothing Cove</t>
  </si>
  <si>
    <t>/collections/brighton-handbags-hobos</t>
  </si>
  <si>
    <t>Brighton \ Handbags \ Hobos</t>
  </si>
  <si>
    <t>Women's Hobos | The Clothing Cove</t>
  </si>
  <si>
    <t>/collections/brighton-handbags-organizers</t>
  </si>
  <si>
    <t>Brighton \ Handbags \ Organizers</t>
  </si>
  <si>
    <t>Women's Organizers | The Clothing Cove</t>
  </si>
  <si>
    <t>/collections/brighton-handbags-shoulder-bags</t>
  </si>
  <si>
    <t>Brighton \ Handbags \ Shoulder Bags</t>
  </si>
  <si>
    <t>Women's Shoulder Bags | The Clothing Cove</t>
  </si>
  <si>
    <t>/collections/brighton-handbags-straw</t>
  </si>
  <si>
    <t>Brighton \ Handbags \ Straw</t>
  </si>
  <si>
    <t>Women's Straw | The Clothing Cove</t>
  </si>
  <si>
    <t>/collections/brighton-handbags-totes</t>
  </si>
  <si>
    <t>Brighton \ Handbags \ Totes</t>
  </si>
  <si>
    <t>Women's Totes | The Clothing Cove</t>
  </si>
  <si>
    <t>/collections/brighton-handbags-wallets</t>
  </si>
  <si>
    <t>Brighton \ Handbags \ Wallets</t>
  </si>
  <si>
    <t>/collections/brighton-jewelry</t>
  </si>
  <si>
    <t>Brighton \ Jewelry</t>
  </si>
  <si>
    <t>/collections/brighton-jewelry-anklets</t>
  </si>
  <si>
    <t>Brighton \ Jewelry \ Anklets</t>
  </si>
  <si>
    <t>Women's Anklets | The Clothing Cove</t>
  </si>
  <si>
    <t>/collections/brighton-jewelry-apple-watch-bands</t>
  </si>
  <si>
    <t>Brighton \ Jewelry \ Apple Watch Bands</t>
  </si>
  <si>
    <t>Women's Apple Watch Bands | The Clothing Cove</t>
  </si>
  <si>
    <t>/collections/brighton-jewelry-bracelets</t>
  </si>
  <si>
    <t>Brighton \ Jewelry \ Bracelets</t>
  </si>
  <si>
    <t>/collections/brighton-jewelry-earrings</t>
  </si>
  <si>
    <t>Brighton \ Jewelry \ Earrings</t>
  </si>
  <si>
    <t>/collections/brighton-jewelry-lockets</t>
  </si>
  <si>
    <t>Brighton \ Jewelry \ Lockets</t>
  </si>
  <si>
    <t>Women's Lockets | The Clothing Cove</t>
  </si>
  <si>
    <t>/collections/brighton-jewelry-necklaces</t>
  </si>
  <si>
    <t>Brighton \ Jewelry \ Necklaces</t>
  </si>
  <si>
    <t>/collections/brighton-jewelry-rings</t>
  </si>
  <si>
    <t>Brighton \ Jewelry \ Rings</t>
  </si>
  <si>
    <t>Women's Rings | The Clothing Cove</t>
  </si>
  <si>
    <t>/collections/brighton-jewelry-watches</t>
  </si>
  <si>
    <t>Brighton \ Jewelry \ Watches</t>
  </si>
  <si>
    <t>Women's Watches | The Clothing Cove</t>
  </si>
  <si>
    <t>/collections/clothing-bottoms</t>
  </si>
  <si>
    <t>Clothing \ Bottoms</t>
  </si>
  <si>
    <t>Women's Bottoms | The Clothing Cove</t>
  </si>
  <si>
    <t>/collections/clothing-bottoms-best-sellers</t>
  </si>
  <si>
    <t>Clothing \ Bottoms \ Best Sellers</t>
  </si>
  <si>
    <t>Women's Best Sellers | The Clothing Cove</t>
  </si>
  <si>
    <t>/collections/clothing-bottoms-capris</t>
  </si>
  <si>
    <t>Clothing \ Bottoms \ Capris</t>
  </si>
  <si>
    <t>Women's Capris | The Clothing Cove</t>
  </si>
  <si>
    <t>/collections/clothing-bottoms-cruise-wear</t>
  </si>
  <si>
    <t>Clothing \ Cruise Wear</t>
  </si>
  <si>
    <t>Women's Cruise Wear | The Clothing Cove</t>
  </si>
  <si>
    <t>/collections/clothing-bottoms-jeans</t>
  </si>
  <si>
    <t>Clothing \ Bottoms \ Jeans</t>
  </si>
  <si>
    <t>Women's Jeans | The Clothing Cove</t>
  </si>
  <si>
    <t>/collections/clothing-bottoms-leggings</t>
  </si>
  <si>
    <t>Clothing \ Bottoms \ Leggings</t>
  </si>
  <si>
    <t>Women's Leggings | The Clothing Cove</t>
  </si>
  <si>
    <t>/collections/clothing-bottoms-perfect-fit-pants</t>
  </si>
  <si>
    <t>Clothing \ Bottoms \ Perfect Fit Pants</t>
  </si>
  <si>
    <t>/collections/clothing-bottoms-petite</t>
  </si>
  <si>
    <t>Clothing \ Bottoms \ Petite</t>
  </si>
  <si>
    <t>Women's Petite | The Clothing Cove</t>
  </si>
  <si>
    <t>/collections/clothing-bottoms-plus</t>
  </si>
  <si>
    <t>Clothing \ Bottoms \ Plus</t>
  </si>
  <si>
    <t>Women's Plus | The Clothing Cove</t>
  </si>
  <si>
    <t>/collections/clothing-bottoms-popular</t>
  </si>
  <si>
    <t>Clothing \ Bottoms \ Popular</t>
  </si>
  <si>
    <t>Women's Popular | The Clothing Cove</t>
  </si>
  <si>
    <t>/collections/clothing-bottoms-sale</t>
  </si>
  <si>
    <t>Clothing \ Bottoms \ Sale</t>
  </si>
  <si>
    <t>Women's Sale | The Clothing Cove</t>
  </si>
  <si>
    <t>/collections/clothing-bottoms-shorts</t>
  </si>
  <si>
    <t>Clothing \ Bottoms \ Shorts</t>
  </si>
  <si>
    <t>Women's Shorts | The Clothing Cove</t>
  </si>
  <si>
    <t>/collections/clothing-bottoms-skirts</t>
  </si>
  <si>
    <t>Clothing \ Bottoms \ Skirts</t>
  </si>
  <si>
    <t>Women's Skirts | The Clothing Cove</t>
  </si>
  <si>
    <t>/collections/clothing-denim</t>
  </si>
  <si>
    <t>Clothing \ Denim</t>
  </si>
  <si>
    <t>Women's Denim | The Clothing Cove</t>
  </si>
  <si>
    <t>/collections/clothing-denim-bell</t>
  </si>
  <si>
    <t>Clothing \ Denim \ Bell</t>
  </si>
  <si>
    <t>Women's Bell | The Clothing Cove</t>
  </si>
  <si>
    <t>/collections/clothing-denim-capris</t>
  </si>
  <si>
    <t>Clothing \ Denim \ Capris</t>
  </si>
  <si>
    <t>/collections/clothing-denim-jackets</t>
  </si>
  <si>
    <t>Clothing \ Denim \ Jackets</t>
  </si>
  <si>
    <t>Women's Jackets | The Clothing Cove</t>
  </si>
  <si>
    <t>/collections/clothing-denim-jeans</t>
  </si>
  <si>
    <t>Clothing \ Denim \ Jeans</t>
  </si>
  <si>
    <t>/collections/clothing-denim-jeggings</t>
  </si>
  <si>
    <t>Clothing \ Denim \ Jeggings</t>
  </si>
  <si>
    <t>Women's Jeggings | The Clothing Cove</t>
  </si>
  <si>
    <t>/collections/clothing-denim-skinny</t>
  </si>
  <si>
    <t>Clothing \ Denim \ Skinny</t>
  </si>
  <si>
    <t>Women's Skinny | The Clothing Cove</t>
  </si>
  <si>
    <t>/collections/clothing-denim-straight-leg</t>
  </si>
  <si>
    <t>Clothing \ Denim \ Straight Leg</t>
  </si>
  <si>
    <t>Women's Straight Leg | The Clothing Cove</t>
  </si>
  <si>
    <t>/collections/clothing-jumpsuits</t>
  </si>
  <si>
    <t>Clothing \ Jumpsuits</t>
  </si>
  <si>
    <t>Women's Jumpsuits | The Clothing Cove</t>
  </si>
  <si>
    <t>/collections/clothing-tops</t>
  </si>
  <si>
    <t>Clothing \ Tops</t>
  </si>
  <si>
    <t>Women's Tops | The Clothing Cove</t>
  </si>
  <si>
    <t>/collections/clothing-tops-casual</t>
  </si>
  <si>
    <t>Clothing \ Tops \ Casual</t>
  </si>
  <si>
    <t>/collections/clothing-tops-dressy</t>
  </si>
  <si>
    <t>Clothing \ Tops \ Dressy</t>
  </si>
  <si>
    <t>/collections/clothing-tops-fashion-cardigans</t>
  </si>
  <si>
    <t>Clothing \ Tops \ Fashion Cardigans</t>
  </si>
  <si>
    <t>Women's Fashion Cardigans | The Clothing Cove</t>
  </si>
  <si>
    <t>/collections/clothing-tops-jackets</t>
  </si>
  <si>
    <t>Clothing \ Tops \ Jackets</t>
  </si>
  <si>
    <t>/collections/clothing-tops-layering</t>
  </si>
  <si>
    <t>Clothing \ Tops \ Layering</t>
  </si>
  <si>
    <t>Women's Layering | The Clothing Cove</t>
  </si>
  <si>
    <t>/collections/clothing-tops-petite</t>
  </si>
  <si>
    <t>Clothing \ Tops \ Petite</t>
  </si>
  <si>
    <t>/collections/clothing-tops-plus</t>
  </si>
  <si>
    <t>Clothing \ Tops \ Plus</t>
  </si>
  <si>
    <t>/collections/clothing-tops-ponchos-and-capes</t>
  </si>
  <si>
    <t>Clothing \ Tops \ Ponchos and Capes</t>
  </si>
  <si>
    <t>Women's Ponchos and Capes | The Clothing Cove</t>
  </si>
  <si>
    <t>/collections/clothing-tops-sweaters</t>
  </si>
  <si>
    <t>Clothing \ Tops \ Sweaters</t>
  </si>
  <si>
    <t>Women's Sweaters | The Clothing Cove</t>
  </si>
  <si>
    <t>/collections/clothing-tops-tank-tops</t>
  </si>
  <si>
    <t>Clothing \ Tops \ Tank Tops</t>
  </si>
  <si>
    <t>Women's Tank Tops | The Clothing Cove</t>
  </si>
  <si>
    <t>/collections/clothing-tops-tunics</t>
  </si>
  <si>
    <t>Clothing \ Tops \ Tunics</t>
  </si>
  <si>
    <t>Women's Tunics | The Clothing Cove</t>
  </si>
  <si>
    <t>/collections/clothing-tops-vests</t>
  </si>
  <si>
    <t>Clothing \ Tops \ Vests</t>
  </si>
  <si>
    <t>Women's Vests | The Clothing Cove</t>
  </si>
  <si>
    <t>/collections/dresses-casual</t>
  </si>
  <si>
    <t>Dresses \ Casual</t>
  </si>
  <si>
    <t>/collections/dresses-evening</t>
  </si>
  <si>
    <t>Dresses \ Evening</t>
  </si>
  <si>
    <t>/collections/dresses-mother-of-bride</t>
  </si>
  <si>
    <t>Dresses \ Mother Of Bride</t>
  </si>
  <si>
    <t>Women's Mother Of Bride | The Clothing Cove</t>
  </si>
  <si>
    <t>/collections/dresses-pant-sets</t>
  </si>
  <si>
    <t>Dresses \ Pant Sets</t>
  </si>
  <si>
    <t>Women's Pant Sets | The Clothing Cove</t>
  </si>
  <si>
    <t>/collections/dresses-petite</t>
  </si>
  <si>
    <t>Dresses \ Petite</t>
  </si>
  <si>
    <t>/collections/dresses-plus</t>
  </si>
  <si>
    <t>Dresses \ Plus</t>
  </si>
  <si>
    <t>/collections/sale-accessories</t>
  </si>
  <si>
    <t>Sale \ Accessories</t>
  </si>
  <si>
    <t>/collections/sale-bottoms</t>
  </si>
  <si>
    <t>Sale \ Bottoms</t>
  </si>
  <si>
    <t>/collections/sale-cove-insiders</t>
  </si>
  <si>
    <t>Sale \ Cove Insiders</t>
  </si>
  <si>
    <t>Women's Cove Insiders | The Clothing Cove</t>
  </si>
  <si>
    <t>/collections/sale-dresses</t>
  </si>
  <si>
    <t>Sale \ Dresses</t>
  </si>
  <si>
    <t>Women's Dresses | The Clothing Cove</t>
  </si>
  <si>
    <t>/collections/sale-handbags</t>
  </si>
  <si>
    <t>Sale \ Handbags</t>
  </si>
  <si>
    <t>/collections/sale-tops</t>
  </si>
  <si>
    <t>Sale \ Tops</t>
  </si>
  <si>
    <t>/collections/shop-with-purpose-accessories</t>
  </si>
  <si>
    <t>Shop With Purpose \ Accessories</t>
  </si>
  <si>
    <t>/collections/shop-with-purpose-accessories-footwear</t>
  </si>
  <si>
    <t>Shop With Purpose \ Accessories \ Footwear</t>
  </si>
  <si>
    <t>/collections/shop-with-purpose-accessories-handbags</t>
  </si>
  <si>
    <t>Shop With Purpose \ Accessories \ Handbags</t>
  </si>
  <si>
    <t>/collections/shop-with-purpose-accessories-hats-and-gloves</t>
  </si>
  <si>
    <t>Shop With Purpose \ Accessories \ Hats and Gloves</t>
  </si>
  <si>
    <t>Women's Hats and Gloves | The Clothing Cove</t>
  </si>
  <si>
    <t>/collections/shop-with-purpose-accessories-jewelry</t>
  </si>
  <si>
    <t>Shop With Purpose \ Accessories \ Jewelry</t>
  </si>
  <si>
    <t>/collections/shop-with-purpose-accessories-scarves</t>
  </si>
  <si>
    <t>Shop With Purpose \ Accessories \ Scarves</t>
  </si>
  <si>
    <t>/collections/shop-with-purpose-baby</t>
  </si>
  <si>
    <t>Shop With Purpose \ Baby</t>
  </si>
  <si>
    <t>Women's Baby | The Clothing Cove</t>
  </si>
  <si>
    <t>/collections/shop-with-purpose-brands</t>
  </si>
  <si>
    <t>Shop With Purpose \ Brands</t>
  </si>
  <si>
    <t>Women's Brands | The Clothing Cove</t>
  </si>
  <si>
    <t>/collections/shop-with-purpose-brands-bella-tunno</t>
  </si>
  <si>
    <t>Shop With Purpose \ Brands \ Bella Tunno</t>
  </si>
  <si>
    <t>Women's Bella Tunno | The Clothing Cove</t>
  </si>
  <si>
    <t>/collections/shop-with-purpose-brands-democracy</t>
  </si>
  <si>
    <t>Shop With Purpose \ Brands \ Democracy</t>
  </si>
  <si>
    <t>Women's Democracy | The Clothing Cove</t>
  </si>
  <si>
    <t>/collections/shop-with-purpose-brands-finchberry</t>
  </si>
  <si>
    <t>Shop With Purpose \ Brands \ Finchberry</t>
  </si>
  <si>
    <t>Women's Finchberry | The Clothing Cove</t>
  </si>
  <si>
    <t>/collections/shop-with-purpose-brands-manual-woodworkers-weavers</t>
  </si>
  <si>
    <t>Shop With Purpose \ Brands \ Manual Woodworkers &amp; Weavers</t>
  </si>
  <si>
    <t>Women's Manual Woodworkers &amp; Weavers | The Clothing Cove</t>
  </si>
  <si>
    <t>/collections/shop-with-purpose-brands-mona-b</t>
  </si>
  <si>
    <t>Shop With Purpose \ Brands \ Mona B</t>
  </si>
  <si>
    <t>Women's Mona B | The Clothing Cove</t>
  </si>
  <si>
    <t>/collections/shop-with-purpose-brands-neon-buddha</t>
  </si>
  <si>
    <t>Shop With Purpose \ Brands \ Neon Buddha</t>
  </si>
  <si>
    <t>Women's Neon Buddha | The Clothing Cove</t>
  </si>
  <si>
    <t>/collections/shop-with-purpose-brands-rachel-marie-designs</t>
  </si>
  <si>
    <t>Shop With Purpose \ Brands \ Rachel Marie Designs</t>
  </si>
  <si>
    <t>/collections/shop-with-purpose-brands-second-nature-by-hand</t>
  </si>
  <si>
    <t>Shop With Purpose \ Brands \ Second Nature By Hand</t>
  </si>
  <si>
    <t>Women's Second Nature By Hand | The Clothing Cove</t>
  </si>
  <si>
    <t>/collections/shop-with-purpose-brands-vocal-apparel</t>
  </si>
  <si>
    <t>Shop With Purpose \ Brands \ Vocal Apparel</t>
  </si>
  <si>
    <t>Women's Vocal Apparel | The Clothing Cove</t>
  </si>
  <si>
    <t>/collections/shop-with-purpose-clothing</t>
  </si>
  <si>
    <t>Shop With Purpose \ Clothing</t>
  </si>
  <si>
    <t>Women's Clothing | The Clothing Cove</t>
  </si>
  <si>
    <t>/collections/shop-with-purpose-clothing-bottoms</t>
  </si>
  <si>
    <t>Shop With Purpose \ Clothing \ Bottoms</t>
  </si>
  <si>
    <t>/collections/shop-with-purpose-clothing-dresses</t>
  </si>
  <si>
    <t>Shop With Purpose \ Clothing \ Dresses</t>
  </si>
  <si>
    <t>/collections/shop-with-purpose-clothing-tops</t>
  </si>
  <si>
    <t>Shop With Purpose \ Clothing \ Tops</t>
  </si>
  <si>
    <t>/collections/shop-with-purpose-home</t>
  </si>
  <si>
    <t>Shop With Purpose \ Home</t>
  </si>
  <si>
    <t>/collections/shop-with-purpose-home-journaling</t>
  </si>
  <si>
    <t>Shop With Purpose \ Home \ Journaling</t>
  </si>
  <si>
    <t>Women's Journaling | The Clothing Cove</t>
  </si>
  <si>
    <t>/collections/shop-with-purpose-home-mugs-tumblers</t>
  </si>
  <si>
    <t>Shop With Purpose \ Home \ Mugs &amp; Tumblers</t>
  </si>
  <si>
    <t>Women's Mugs &amp; Tumblers | The Clothing Cove</t>
  </si>
  <si>
    <t>/collections/shop-with-purpose-home-puzzles</t>
  </si>
  <si>
    <t>Shop With Purpose \ Home \ Puzzles</t>
  </si>
  <si>
    <t>Women's Puzzles | The Clothing Cove</t>
  </si>
  <si>
    <t>/collections/shop-with-purpose-pet</t>
  </si>
  <si>
    <t>Shop With Purpose \ Pet</t>
  </si>
  <si>
    <t>Women's Pet | The Clothing Cove</t>
  </si>
  <si>
    <t>/collections/shop-with-purpose-unique-gifts</t>
  </si>
  <si>
    <t>Shop With Purpose \ Unique Gifts</t>
  </si>
  <si>
    <t>Women's Unique Gifts | The Clothing Cove</t>
  </si>
  <si>
    <t>/collections/shop-with-purpose-unique-gifts-baby</t>
  </si>
  <si>
    <t>Shop With Purpose \ Unique Gifts \ Baby</t>
  </si>
  <si>
    <t>/collections/shop-with-purpose-unique-gifts-home</t>
  </si>
  <si>
    <t>Shop With Purpose \ Unique Gifts \ Home</t>
  </si>
  <si>
    <t>/collections/shop-with-purpose-unique-gifts-pet</t>
  </si>
  <si>
    <t>Shop With Purpose \ Unique Gifts \ Pet</t>
  </si>
  <si>
    <t>/collections/shop-with-purpose-usa-made</t>
  </si>
  <si>
    <t>Shop With Purpose \ USA Made</t>
  </si>
  <si>
    <t>/collections/sympli-best-sellers</t>
  </si>
  <si>
    <t>Sympli \ Best Sellers</t>
  </si>
  <si>
    <t>/collections/sympli-bottoms</t>
  </si>
  <si>
    <t>Sympli \ Bottoms</t>
  </si>
  <si>
    <t>/collections/sympli-dresses</t>
  </si>
  <si>
    <t>Sympli \ Dresses</t>
  </si>
  <si>
    <t>/collections/sympli-layering</t>
  </si>
  <si>
    <t>Sympli \ Layering</t>
  </si>
  <si>
    <t>/collections/sympli-sale</t>
  </si>
  <si>
    <t>Sympli \ Sale</t>
  </si>
  <si>
    <t>/collections/sympli-tops</t>
  </si>
  <si>
    <t>Sympli \ Tops</t>
  </si>
  <si>
    <t>Brand</t>
  </si>
  <si>
    <t>/collections/brand-origami</t>
  </si>
  <si>
    <t>Brand / Origami</t>
  </si>
  <si>
    <t>Brand / Origami | The Clothing Cove – Milford, MI</t>
  </si>
  <si>
    <t>/collections/brands-adrianna-papell</t>
  </si>
  <si>
    <t>Brands \ Adrianna Papell</t>
  </si>
  <si>
    <t>Adrianna Papell | The Clothing Cove – Milford, MI</t>
  </si>
  <si>
    <t>/collections/brands-alex-evenings</t>
  </si>
  <si>
    <t>Brands \ Alex Evenings</t>
  </si>
  <si>
    <t>Alex Evenings | The Clothing Cove – Milford, MI</t>
  </si>
  <si>
    <t>/collections/brands-anju-jewelry</t>
  </si>
  <si>
    <t>Brands \ Anju Jewelry</t>
  </si>
  <si>
    <t>Anju Jewelry | The Clothing Cove – Milford, MI</t>
  </si>
  <si>
    <t>/collections/brands-baggallini</t>
  </si>
  <si>
    <t>Brands \ Baggallini</t>
  </si>
  <si>
    <t>Baggallini | The Clothing Cove – Milford, MI</t>
  </si>
  <si>
    <t>/collections/brands-bali</t>
  </si>
  <si>
    <t>Brands \ Bali</t>
  </si>
  <si>
    <t>Bali | The Clothing Cove – Milford, MI</t>
  </si>
  <si>
    <t>/collections/brands-braza-bra</t>
  </si>
  <si>
    <t>Brands \ Braza Bra</t>
  </si>
  <si>
    <t>Braza Bra | The Clothing Cove – Milford, MI</t>
  </si>
  <si>
    <t>/collections/brands-brighton-jewelry-and-accessories</t>
  </si>
  <si>
    <t>Brands \ Brighton Jewelry and Accessories</t>
  </si>
  <si>
    <t>Brighton Jewelry and Accessories | The Clothing Cove</t>
  </si>
  <si>
    <t>/collections/brands-brighton-meridian</t>
  </si>
  <si>
    <t>Brands Brighton Meridian</t>
  </si>
  <si>
    <t>Brands Brighton Meridian | The Clothing Cove – Milford, MI</t>
  </si>
  <si>
    <t>/collections/brands-by-jj</t>
  </si>
  <si>
    <t>Brands \ By JJ</t>
  </si>
  <si>
    <t>By JJ | The Clothing Cove – Milford, MI</t>
  </si>
  <si>
    <t>/collections/brands-charlie-b</t>
  </si>
  <si>
    <t>Brands \ Charlie B</t>
  </si>
  <si>
    <t>Charlie B | The Clothing Cove – Milford, MI</t>
  </si>
  <si>
    <t>/collections/brands-cj-bella</t>
  </si>
  <si>
    <t>Brands \ CJ Bella</t>
  </si>
  <si>
    <t>CJ Bella | The Clothing Cove – Milford, MI</t>
  </si>
  <si>
    <t>/collections/brands-coco-carmen</t>
  </si>
  <si>
    <t>Brands \ Coco &amp; Carmen</t>
  </si>
  <si>
    <t>Coco &amp; Carmen | The Clothing Cove – Milford, MI</t>
  </si>
  <si>
    <t>/collections/brands-damee</t>
  </si>
  <si>
    <t>Brands \ Damee</t>
  </si>
  <si>
    <t>Damee | The Clothing Cove – Milford, MI</t>
  </si>
  <si>
    <t>/collections/brands-democracy</t>
  </si>
  <si>
    <t>Brands \ Democracy</t>
  </si>
  <si>
    <t>Democracy | The Clothing Cove – Milford, MI</t>
  </si>
  <si>
    <t>/collections/brands-easel</t>
  </si>
  <si>
    <t>Brands \ Easel</t>
  </si>
  <si>
    <t>Easel | The Clothing Cove – Milford, MI</t>
  </si>
  <si>
    <t>/collections/brands-ethyl</t>
  </si>
  <si>
    <t>Brands \ Ethyl</t>
  </si>
  <si>
    <t>Ethyl | The Clothing Cove – Milford, MI</t>
  </si>
  <si>
    <t>/collections/brands-fca</t>
  </si>
  <si>
    <t>Brands \ Creation</t>
  </si>
  <si>
    <t>Creation | The Clothing Cove – Milford, MI</t>
  </si>
  <si>
    <t>/collections/brands-foot-petals</t>
  </si>
  <si>
    <t>Brands \ Foot Petals</t>
  </si>
  <si>
    <t>Foot Petals | The Clothing Cove – Milford, MI</t>
  </si>
  <si>
    <t>/collections/brands-forever-new</t>
  </si>
  <si>
    <t>Brands \ Forever New</t>
  </si>
  <si>
    <t>Forever New | The Clothing Cove – Milford, MI</t>
  </si>
  <si>
    <t>/collections/brands-frank-lyman</t>
  </si>
  <si>
    <t>Brands \ Frank Lyman</t>
  </si>
  <si>
    <t>Frank Lyman | The Clothing Cove – Milford, MI</t>
  </si>
  <si>
    <t>/collections/brands-greenleaf</t>
  </si>
  <si>
    <t>Brands \ Greenleaf</t>
  </si>
  <si>
    <t>Greenleaf | The Clothing Cove – Milford, MI</t>
  </si>
  <si>
    <t>/collections/brands-habitat</t>
  </si>
  <si>
    <t>Brands \ Habitat</t>
  </si>
  <si>
    <t>Habitat | The Clothing Cove – Milford, MI</t>
  </si>
  <si>
    <t>/collections/brands-inis-fragrance</t>
  </si>
  <si>
    <t>Brands \ Inis Fragrance</t>
  </si>
  <si>
    <t>Inis Fragrance | The Clothing Cove – Milford, MI</t>
  </si>
  <si>
    <t>/collections/brands-insight-ny</t>
  </si>
  <si>
    <t>Brands \ Insight NY</t>
  </si>
  <si>
    <t>Insight NY | The Clothing Cove – Milford, MI</t>
  </si>
  <si>
    <t>/collections/brands-jacqueline-kent</t>
  </si>
  <si>
    <t>Brands \ Jacqueline Kent</t>
  </si>
  <si>
    <t>Jacqueline Kent | The Clothing Cove – Milford, MI</t>
  </si>
  <si>
    <t>/collections/brands-jade-dresses</t>
  </si>
  <si>
    <t>Brands \ Jade Dresses</t>
  </si>
  <si>
    <t>Jade Dresses | The Clothing Cove – Milford, MI</t>
  </si>
  <si>
    <t>/collections/brands-jag-jeans</t>
  </si>
  <si>
    <t>Brands \ Jag Jeans</t>
  </si>
  <si>
    <t>Jag Jeans | The Clothing Cove – Milford, MI</t>
  </si>
  <si>
    <t>/collections/brands-jess-jane</t>
  </si>
  <si>
    <t>Brands \ Jess &amp; Jane</t>
  </si>
  <si>
    <t>Jess &amp; Jane | The Clothing Cove – Milford, MI</t>
  </si>
  <si>
    <t>/collections/brands-joseph-ribkoff</t>
  </si>
  <si>
    <t>Brands \ Joseph Ribkoff</t>
  </si>
  <si>
    <t>Joseph Ribkoff | The Clothing Cove – Milford, MI</t>
  </si>
  <si>
    <t>/collections/brands-jostar</t>
  </si>
  <si>
    <t>Brands \ JoStar</t>
  </si>
  <si>
    <t>JoStar | The Clothing Cove – Milford, MI</t>
  </si>
  <si>
    <t>/collections/brands-keren-hart</t>
  </si>
  <si>
    <t>Brands \ Keren Hart</t>
  </si>
  <si>
    <t>Keren Hart | The Clothing Cove – Milford, MI</t>
  </si>
  <si>
    <t>/collections/brands-liv-by-habitat</t>
  </si>
  <si>
    <t>Brands \ Liv by Habitat</t>
  </si>
  <si>
    <t>Liv by Habitat | The Clothing Cove – Milford, MI</t>
  </si>
  <si>
    <t>/collections/brands-liverpool-jeans</t>
  </si>
  <si>
    <t>Brands \ Liverpool Jeans</t>
  </si>
  <si>
    <t>Liverpool Jeans | The Clothing Cove – Milford, MI</t>
  </si>
  <si>
    <t>/collections/brands-made-in-italy</t>
  </si>
  <si>
    <t>Brands \ Made in Italy</t>
  </si>
  <si>
    <t>Made in Italy | The Clothing Cove – Milford, MI</t>
  </si>
  <si>
    <t>/collections/brands-mgny</t>
  </si>
  <si>
    <t>Brands \ MGNY</t>
  </si>
  <si>
    <t>MGNY | The Clothing Cove – Milford, MI</t>
  </si>
  <si>
    <t>/collections/brands-michael-tyler</t>
  </si>
  <si>
    <t>Brands \ Michael Tyler</t>
  </si>
  <si>
    <t>Michael Tyler | The Clothing Cove – Milford, MI</t>
  </si>
  <si>
    <t>/collections/brands-modgy</t>
  </si>
  <si>
    <t>Brands \ Modgy</t>
  </si>
  <si>
    <t>Modgy | The Clothing Cove – Milford, MI</t>
  </si>
  <si>
    <t>/collections/brands-montage</t>
  </si>
  <si>
    <t>Brands \ Montage</t>
  </si>
  <si>
    <t>Montage | The Clothing Cove – Milford, MI</t>
  </si>
  <si>
    <t>/collections/brands-multiples-clothing-company</t>
  </si>
  <si>
    <t>Brands \ Multiples Clothing Company</t>
  </si>
  <si>
    <t>Multiples Clothing Company | The Clothing Cove – Milford, MI</t>
  </si>
  <si>
    <t>/collections/brands-my-fun-colors</t>
  </si>
  <si>
    <t>Brands \ My Fun Colors</t>
  </si>
  <si>
    <t>My Fun Colors | The Clothing Cove – Milford, MI</t>
  </si>
  <si>
    <t>/collections/brands-naked-bee</t>
  </si>
  <si>
    <t>Brands \ Naked Bee</t>
  </si>
  <si>
    <t>Naked Bee | The Clothing Cove – Milford, MI</t>
  </si>
  <si>
    <t>/collections/brands-north-american-designers</t>
  </si>
  <si>
    <t>Brands \ North American Designers</t>
  </si>
  <si>
    <t>North American Designers | The Clothing Cove – Milford, MI</t>
  </si>
  <si>
    <t>/collections/brands-north-american-designers-bali</t>
  </si>
  <si>
    <t>Brands \ North American Designers \ Bali</t>
  </si>
  <si>
    <t>/collections/brands-north-american-designers-michael-tyler</t>
  </si>
  <si>
    <t>Brands \ North American Designers \ Michael Tyler</t>
  </si>
  <si>
    <t>/collections/brands-parsley-sage</t>
  </si>
  <si>
    <t>Brands \ Parsley &amp; Sage</t>
  </si>
  <si>
    <t>Parsley &amp; Sage | The Clothing Cove – Milford, MI</t>
  </si>
  <si>
    <t>/collections/brands-pol</t>
  </si>
  <si>
    <t>Brands \ POL</t>
  </si>
  <si>
    <t>/collections/brands-pure-essence</t>
  </si>
  <si>
    <t>Brands \ Pure Essence</t>
  </si>
  <si>
    <t>Pure Essence | The Clothing Cove – Milford, MI</t>
  </si>
  <si>
    <t>/collections/brands-rachel-marie-designs</t>
  </si>
  <si>
    <t>Brands \ Rachel Marie Designs</t>
  </si>
  <si>
    <t>Rachel Marie Designs | The Clothing Cove – Milford, MI</t>
  </si>
  <si>
    <t>/collections/brands-renuar</t>
  </si>
  <si>
    <t>Brands \ Renuar</t>
  </si>
  <si>
    <t>/collections/brands-slim-sation</t>
  </si>
  <si>
    <t>Brands \ Slim-Sation</t>
  </si>
  <si>
    <t>Slim-Sation | The Clothing Cove – Milford, MI</t>
  </si>
  <si>
    <t>/collections/brands-spring-step-shoes</t>
  </si>
  <si>
    <t>Brands \ Spring Step Shoes</t>
  </si>
  <si>
    <t>Spring Step Shoes | The Clothing Cove – Milford, MI</t>
  </si>
  <si>
    <t>/collections/brands-sympli</t>
  </si>
  <si>
    <t>Brands \ Sympli</t>
  </si>
  <si>
    <t>Sympli | The Clothing Cove – Milford, MI</t>
  </si>
  <si>
    <t>/collections/brands-tagua-jewelry</t>
  </si>
  <si>
    <t>Brands \ Tagua Jewelry</t>
  </si>
  <si>
    <t>Tagua Jewelry | The Clothing Cove – Milford, MI</t>
  </si>
  <si>
    <t>/collections/brands-tenacity-bella-tunno</t>
  </si>
  <si>
    <t>Brands \ Tenacity \ Bella Tunno</t>
  </si>
  <si>
    <t>Bella Tunno | The Clothing Cove – Milford, MI</t>
  </si>
  <si>
    <t>/collections/brands-tenacity-democracy</t>
  </si>
  <si>
    <t>Brands \ Tenacity \ Democracy</t>
  </si>
  <si>
    <t>/collections/brands-tenacity-e-cloth</t>
  </si>
  <si>
    <t>Brands \ Tenacity \ E-Cloth</t>
  </si>
  <si>
    <t>E-Cloth | The Clothing Cove – Milford, MI</t>
  </si>
  <si>
    <t>/collections/brands-tenacity-insect-shield</t>
  </si>
  <si>
    <t>Brands \ Tenacity \ Insect Shield</t>
  </si>
  <si>
    <t>Insect Shield | The Clothing Cove – Milford, MI</t>
  </si>
  <si>
    <t>/collections/brands-tenacity-rachel-marie-designs</t>
  </si>
  <si>
    <t>Brands \ Tenacity \ Rachel Marie Designs</t>
  </si>
  <si>
    <t>/collections/brands-tenacity-vocal</t>
  </si>
  <si>
    <t>Brands \ Tenacity \ Vocal</t>
  </si>
  <si>
    <t>Vocal | The Clothing Cove – Milford, MI</t>
  </si>
  <si>
    <t>/collections/brands-tenacity-warmies</t>
  </si>
  <si>
    <t>Brands \ Tenacity \ Warmies</t>
  </si>
  <si>
    <t>Warmies | The Clothing Cove – Milford, MI</t>
  </si>
  <si>
    <t>/collections/brands-tribal</t>
  </si>
  <si>
    <t>Brands \ Tribal</t>
  </si>
  <si>
    <t>Tribal | The Clothing Cove – Milford, MI</t>
  </si>
  <si>
    <t>/collections/brands-usa-brands-forever-new</t>
  </si>
  <si>
    <t>Brands \ USA Brands \ Forever New</t>
  </si>
  <si>
    <t>/collections/brands-usa-brands-naked-bee</t>
  </si>
  <si>
    <t>Brands \ USA Brands \ Naked Bee</t>
  </si>
  <si>
    <t>/collections/brands-usa-brands-rachel-marie-designs</t>
  </si>
  <si>
    <t>Brands \ USA Brands \ Rachel Marie Designs</t>
  </si>
  <si>
    <t>/collections/brands-usa-brands-vocal</t>
  </si>
  <si>
    <t>Brands \ USA Brands \ Vocal</t>
  </si>
  <si>
    <t>/collections/brands-vocal</t>
  </si>
  <si>
    <t>Brands \ Vocal</t>
  </si>
  <si>
    <t>/collections/brands-worlds-softest-socks</t>
  </si>
  <si>
    <t>Brands \ Worlds Softest Socks</t>
  </si>
  <si>
    <t>Worlds Softest Socks | The Clothing Cove – Milford, MI</t>
  </si>
  <si>
    <t>Technical SEO — Live Site &amp; Theme</t>
  </si>
  <si>
    <t>Live theme: Prestige update theme-sc 02-07-2025 (id 138024386675)  |  11 themes on store  |  checked June 10, 2026</t>
  </si>
  <si>
    <t>Details / Recommendation</t>
  </si>
  <si>
    <t>Theme publishing</t>
  </si>
  <si>
    <t>MISMATCH</t>
  </si>
  <si>
    <t>The May 2026 SEO theme work (custom titles, JSON-LD, OG tags, hidden H1) lives on unpublished theme “Prestige Updates TKBS - 05-15-2026”. The live theme has none of it. Port or publish before any new theme work.</t>
  </si>
  <si>
    <t>Generic</t>
  </si>
  <si>
    <t>Live title is “The Clothing Cove” — no keywords, no location. Should target e.g. dresses / women’s boutique / Milford MI.</t>
  </si>
  <si>
    <t>Homepage meta description</t>
  </si>
  <si>
    <t>Present</t>
  </si>
  <si>
    <t>The Clothing Cove is the &amp;quot;Dress Store&amp;quot; - offering 2000+ designer dresses, women&amp;#39;s fashion clothes, sportswear, jewelry, and it is also a Brighton ...</t>
  </si>
  <si>
    <t>Homepage H1</t>
  </si>
  <si>
    <t>Empty</t>
  </si>
  <si>
    <t>One H1 exists on the homepage but contains no text — no headline keyword signal.</t>
  </si>
  <si>
    <t>Missing</t>
  </si>
  <si>
    <t>Live /collections/dresses has NO meta description (collection has no description text to draw from).</t>
  </si>
  <si>
    <t>Product JSON-LD</t>
  </si>
  <si>
    <t>Present (app)</t>
  </si>
  <si>
    <t>Product, Offer, Brand, BreadcrumbList rendered on live product pages via app.</t>
  </si>
  <si>
    <t>Homepage JSON-LD</t>
  </si>
  <si>
    <t>Types found: BreadcrumbList, ClothingStore, Organization, SearchAction, WebSite.</t>
  </si>
  <si>
    <t>Collection JSON-LD</t>
  </si>
  <si>
    <t>CollectionPage + ItemList on live collection pages.</t>
  </si>
  <si>
    <t>Open Graph tags</t>
  </si>
  <si>
    <t>5 og: tags on homepage; present on product/collection pages too.</t>
  </si>
  <si>
    <t>Twitter cards</t>
  </si>
  <si>
    <t>3 twitter: tags on homepage.</t>
  </si>
  <si>
    <t>Theme-level og/JSON-LD backstop</t>
  </si>
  <si>
    <t>theme.liquid itself has no og:, twitter:, or JSON-LD — all depends on the app. If the app is removed, all structured data disappears.</t>
  </si>
  <si>
    <t>Canonical tags</t>
  </si>
  <si>
    <t>Shopify canonical URL in theme.</t>
  </si>
  <si>
    <t>Viewport / mobile</t>
  </si>
  <si>
    <t>Mobile-friendly viewport set.</t>
  </si>
  <si>
    <t>Preconnect hints</t>
  </si>
  <si>
    <t>No preconnect/dns-prefetch for CDN or font hosts — easy page-speed win.</t>
  </si>
  <si>
    <t>Microdata snippet</t>
  </si>
  <si>
    <t>snippets/microdata-schema.liquid exists in live theme (legacy but harmless).</t>
  </si>
  <si>
    <t>Color swatch config</t>
  </si>
  <si>
    <t>Live theme color_swatch_config is empty — swatches cannot render.</t>
  </si>
  <si>
    <t>robots.txt / sitemap</t>
  </si>
  <si>
    <t>Standard</t>
  </si>
  <si>
    <t>Shopify defaults; sitemap.xml present and serving.</t>
  </si>
  <si>
    <t>Availability + Price only</t>
  </si>
  <si>
    <t>No Color, Size, or Brand facets on live collection pages — see Inventory Recovery Plan.</t>
  </si>
  <si>
    <t>Theme housekeeping</t>
  </si>
  <si>
    <t>11 themes</t>
  </si>
  <si>
    <t>11 themes stored (2022–2026 backups). Risk of editing/publishing the wrong one; archive old copies.</t>
  </si>
  <si>
    <t>Pages &amp; Blog</t>
  </si>
  <si>
    <t>31 pages (11 published, 20 draft)  |  41 blog articles, last published April 2023</t>
  </si>
  <si>
    <t>Page Title</t>
  </si>
  <si>
    <t>Handle</t>
  </si>
  <si>
    <t>Content Length</t>
  </si>
  <si>
    <t>Note</t>
  </si>
  <si>
    <t>FAQs</t>
  </si>
  <si>
    <t>faqs</t>
  </si>
  <si>
    <t>Published</t>
  </si>
  <si>
    <t>Shipping Information</t>
  </si>
  <si>
    <t>shipping-information</t>
  </si>
  <si>
    <t>Return And Exchange Policy</t>
  </si>
  <si>
    <t>return-and-exchange-policy</t>
  </si>
  <si>
    <t>About Us</t>
  </si>
  <si>
    <t>about-us</t>
  </si>
  <si>
    <t>Privacy/Security Policy</t>
  </si>
  <si>
    <t>privacy-security-policy</t>
  </si>
  <si>
    <t>Contact Us/Hours</t>
  </si>
  <si>
    <t>contact-us</t>
  </si>
  <si>
    <t>Milford Garden Walk</t>
  </si>
  <si>
    <t>milford-garden-walk</t>
  </si>
  <si>
    <t>Clothing Cove Event Calendar</t>
  </si>
  <si>
    <t>event-calendar</t>
  </si>
  <si>
    <t>Very thin — expand or unpublish</t>
  </si>
  <si>
    <t>Join Our Team</t>
  </si>
  <si>
    <t>cove-joinourteam</t>
  </si>
  <si>
    <t>Gift Card Balance</t>
  </si>
  <si>
    <t>https-the-clothing-cove-store-myshopify-com-gift_cards</t>
  </si>
  <si>
    <t>Our Favorite Brands</t>
  </si>
  <si>
    <t>our-favorite-brands</t>
  </si>
  <si>
    <t>GIVE BACK FRIDAY 11-23-18</t>
  </si>
  <si>
    <t>give-back-friday</t>
  </si>
  <si>
    <t>Draft</t>
  </si>
  <si>
    <t>Draft — publish if still relevant</t>
  </si>
  <si>
    <t>Shop Small Saturday</t>
  </si>
  <si>
    <t>shop-small-saturday</t>
  </si>
  <si>
    <t>Pink Friday</t>
  </si>
  <si>
    <t>pink-friday</t>
  </si>
  <si>
    <t>Give Back Friday</t>
  </si>
  <si>
    <t>copy-of-clothing-cove-event-calendar</t>
  </si>
  <si>
    <t>Community Sharing Spring Fashion Show</t>
  </si>
  <si>
    <t>community-sharing-spring-fashion-show</t>
  </si>
  <si>
    <t>Galentine's FEB 13th</t>
  </si>
  <si>
    <t>galentines-feb-13th</t>
  </si>
  <si>
    <t>Cyber Monday</t>
  </si>
  <si>
    <t>cyber-monday</t>
  </si>
  <si>
    <t>Shop the Cove Girls' Closet</t>
  </si>
  <si>
    <t>shop-the-cove-girls-closet</t>
  </si>
  <si>
    <t>The Big Reveal</t>
  </si>
  <si>
    <t>the-big-reveal</t>
  </si>
  <si>
    <t>Ladies' Night Out</t>
  </si>
  <si>
    <t>ladies-night-out</t>
  </si>
  <si>
    <t>RMD Trunk Show</t>
  </si>
  <si>
    <t>rmd-trunk-show</t>
  </si>
  <si>
    <t>Christmas Open House</t>
  </si>
  <si>
    <t>christmas-open-house</t>
  </si>
  <si>
    <t>Brighton Spring Trunk Show</t>
  </si>
  <si>
    <t>brighton-spring-trunk-show</t>
  </si>
  <si>
    <t>Frank Lyman Trunk Show</t>
  </si>
  <si>
    <t>frank-lyman-trunk-show</t>
  </si>
  <si>
    <t>Brighton Event</t>
  </si>
  <si>
    <t>brighton-event</t>
  </si>
  <si>
    <t>Giving Tuesday</t>
  </si>
  <si>
    <t>giving-tuesday</t>
  </si>
  <si>
    <t>customer-appreciation</t>
  </si>
  <si>
    <t>Check gift card</t>
  </si>
  <si>
    <t>check-gift-card</t>
  </si>
  <si>
    <t>Note from Valerie</t>
  </si>
  <si>
    <t>note-from-valerie</t>
  </si>
  <si>
    <t>The Clothing Cove Rewards</t>
  </si>
  <si>
    <t>the-clothing-cove-rewards</t>
  </si>
  <si>
    <t>EMPTY — no content</t>
  </si>
  <si>
    <t>BLOG</t>
  </si>
  <si>
    <t>Total articles</t>
  </si>
  <si>
    <t>Last published</t>
  </si>
  <si>
    <t>April 5, 2023</t>
  </si>
  <si>
    <t>Posts since 2024</t>
  </si>
  <si>
    <t>Local SEO &amp; Entity Signals</t>
  </si>
  <si>
    <t>What the site currently tells Google/AI about the business (read from live structured data).</t>
  </si>
  <si>
    <t>Signal</t>
  </si>
  <si>
    <t>Value on site</t>
  </si>
  <si>
    <t>Action</t>
  </si>
  <si>
    <t>Business name</t>
  </si>
  <si>
    <t>The Clothing Cove</t>
  </si>
  <si>
    <t>Keep consistent everywhere</t>
  </si>
  <si>
    <t>Address (schema)</t>
  </si>
  <si>
    <t>414 North Main, Milford, Michigan 48381</t>
  </si>
  <si>
    <t>Verify matches Google Business Profile exactly</t>
  </si>
  <si>
    <t>Phone (schema)</t>
  </si>
  <si>
    <t>1-248-685-2500</t>
  </si>
  <si>
    <t>Verify matches GBP &amp; directories</t>
  </si>
  <si>
    <t>Hours (schema)</t>
  </si>
  <si>
    <t>Mon–Wed 10–6, Thu–Fri 10–8, Sat 9:30–6, Sun closed</t>
  </si>
  <si>
    <t>VERIFY</t>
  </si>
  <si>
    <t>Confirm these are the real current hours — schema says Thu/Fri to 8pm</t>
  </si>
  <si>
    <t>Schema type</t>
  </si>
  <si>
    <t>ClothingStore (homepage)</t>
  </si>
  <si>
    <t>Good local entity type</t>
  </si>
  <si>
    <t>Social profiles (sameAs)</t>
  </si>
  <si>
    <t>Facebook, Twitter/X, Instagram, Pinterest, YouTube</t>
  </si>
  <si>
    <t>Verify links live and active</t>
  </si>
  <si>
    <t>Organization schema</t>
  </si>
  <si>
    <t>Missing phone + address</t>
  </si>
  <si>
    <t>Second Organization block has no NAP — consolidate with ClothingStore data</t>
  </si>
  <si>
    <t>Google Business Profile</t>
  </si>
  <si>
    <t>Not verifiable from site</t>
  </si>
  <si>
    <t>Confirm claimed, categories set, products/photos current</t>
  </si>
  <si>
    <t>Local landing content</t>
  </si>
  <si>
    <t>No Milford/Michigan keywords in homepage title</t>
  </si>
  <si>
    <t>Add location to homepage title + key page copy</t>
  </si>
  <si>
    <t>AEO Readiness — Will AI Assistants Recommend This Store?</t>
  </si>
  <si>
    <t>AI engines (ChatGPT, Perplexity, Google AI Overviews) need machine-readable content. Status of each ingredient:</t>
  </si>
  <si>
    <t>Ingredient</t>
  </si>
  <si>
    <t>Current State</t>
  </si>
  <si>
    <t>Why It Matters</t>
  </si>
  <si>
    <t>Fix</t>
  </si>
  <si>
    <t>Product structured data</t>
  </si>
  <si>
    <t>JSON-LD present via app</t>
  </si>
  <si>
    <t>AI can read price, availability, brand.</t>
  </si>
  <si>
    <t>Maintain; add review/rating data when available</t>
  </si>
  <si>
    <t>Product descriptions</t>
  </si>
  <si>
    <t>3,522 in-stock products have none</t>
  </si>
  <si>
    <t>AI cannot recommend a product it can't understand.</t>
  </si>
  <si>
    <t>Bulk-generate, even 2–3 sentences each</t>
  </si>
  <si>
    <t>Product tags / taxonomy</t>
  </si>
  <si>
    <t>10,966 in-stock untagged (94%)</t>
  </si>
  <si>
    <t>Tags feed category understanding (occasion, style, material).</t>
  </si>
  <si>
    <t>Bulk-tag from type/vendor/attributes</t>
  </si>
  <si>
    <t>Collection page content</t>
  </si>
  <si>
    <t>423 of 544 have no description</t>
  </si>
  <si>
    <t>Category pages are exactly what AI reads to learn what the store sells.</t>
  </si>
  <si>
    <t>Write descriptions for the 251 navigable collections first</t>
  </si>
  <si>
    <t>Fresh, citable content</t>
  </si>
  <si>
    <t>Last blog post April 2023</t>
  </si>
  <si>
    <t>AI cites recent content for “best X for Y” queries.</t>
  </si>
  <si>
    <t>Revive blog around shopping questions (mother-of-the-bride, Brighton, occasion dressing)</t>
  </si>
  <si>
    <t>FAQ content</t>
  </si>
  <si>
    <t>Strong FAQ page exists (published)</t>
  </si>
  <si>
    <t>Q&amp;A format is the easiest content for AI to quote.</t>
  </si>
  <si>
    <t>Extend FAQ blocks to top collections</t>
  </si>
  <si>
    <t>Entity clarity</t>
  </si>
  <si>
    <t>Generic homepage title; split Organization/ClothingStore schema</t>
  </si>
  <si>
    <t>“The Clothing Cove” must be unambiguous to AI.</t>
  </si>
  <si>
    <t>Unify schema, keyword homepage title, consistent NAP</t>
  </si>
  <si>
    <t>Hours/location accuracy</t>
  </si>
  <si>
    <t>Schema present; hours need verification</t>
  </si>
  <si>
    <t>AI answers “is X open now” from this data.</t>
  </si>
  <si>
    <t>Verify hours; keep schema synced with reality</t>
  </si>
  <si>
    <t>SEO &amp; AEO — Fix Roadmap</t>
  </si>
  <si>
    <t>Priority order: publish what exists, then bulk wins, then content depth. In-stock scope.</t>
  </si>
  <si>
    <t>Priority</t>
  </si>
  <si>
    <t>Scope</t>
  </si>
  <si>
    <t>Effort</t>
  </si>
  <si>
    <t>Expected Impact</t>
  </si>
  <si>
    <t>P1</t>
  </si>
  <si>
    <t>Publish / port the existing theme SEO work to the LIVE theme (homepage title + meta, hidden H1, JSON-LD backstop, OG backstop, preconnect). It is currently sitting unpublished.</t>
  </si>
  <si>
    <t>Theme only — 0 products</t>
  </si>
  <si>
    <t>4–8 hours</t>
  </si>
  <si>
    <t>Immediate: keyword-bearing homepage title, schema independence from app</t>
  </si>
  <si>
    <t>Fix homepage title + empty H1 on live theme</t>
  </si>
  <si>
    <t>2 elements</t>
  </si>
  <si>
    <t>Included above</t>
  </si>
  <si>
    <t>Core ranking signal for “dress shop Milford”-type queries</t>
  </si>
  <si>
    <t>P2</t>
  </si>
  <si>
    <t>Bulk-generate SEO titles for in-stock products</t>
  </si>
  <si>
    <t>8–12 hours scripted + spot review</t>
  </si>
  <si>
    <t>Every product page gets a keyworded title</t>
  </si>
  <si>
    <t>Bulk-generate meta descriptions for in-stock products</t>
  </si>
  <si>
    <t>6,564 products</t>
  </si>
  <si>
    <t>6–10 hours scripted</t>
  </si>
  <si>
    <t>Higher click-through from search results</t>
  </si>
  <si>
    <t>De-duplicate product titles</t>
  </si>
  <si>
    <t>909 products / 57 shared titles</t>
  </si>
  <si>
    <t>3–5 hours</t>
  </si>
  <si>
    <t>Stops self-competition in search</t>
  </si>
  <si>
    <t>P3</t>
  </si>
  <si>
    <t>Bulk-tag in-stock products</t>
  </si>
  <si>
    <t>1–2 weeks scripted + review</t>
  </si>
  <si>
    <t>Filtering + AI taxonomy + collection automation</t>
  </si>
  <si>
    <t>Generate product descriptions (missing + thin)</t>
  </si>
  <si>
    <t>3,522 missing + 828 thin</t>
  </si>
  <si>
    <t>2–3 weeks scripted + review</t>
  </si>
  <si>
    <t>Products become indexable and AI-recommendable</t>
  </si>
  <si>
    <t>Alt-text generation for in-stock images</t>
  </si>
  <si>
    <t>1,277 images (738 products with zero alt)</t>
  </si>
  <si>
    <t>4–6 hours scripted</t>
  </si>
  <si>
    <t>Image search visibility + accessibility</t>
  </si>
  <si>
    <t>Write descriptions + SEO titles for navigable collections (proposals included on Collection SEO sheet)</t>
  </si>
  <si>
    <t>251 collections</t>
  </si>
  <si>
    <t>15–25 hours</t>
  </si>
  <si>
    <t>Category pages start ranking and feeding AI answers</t>
  </si>
  <si>
    <t>P4</t>
  </si>
  <si>
    <t>Publish or prune draft pages; expand thin pages</t>
  </si>
  <si>
    <t>20 drafts, several thin pages</t>
  </si>
  <si>
    <t>Recovers existing content investment</t>
  </si>
  <si>
    <t>Revive blog: 1–2 posts/month around shopping queries</t>
  </si>
  <si>
    <t>Ongoing</t>
  </si>
  <si>
    <t>2–4 hours/post</t>
  </si>
  <si>
    <t>Fresh citable content for AI + long-tail search</t>
  </si>
  <si>
    <t>Verify hours, GBP, and unify Organization/ClothingStore schema</t>
  </si>
  <si>
    <t>Entity layer</t>
  </si>
  <si>
    <t>2–3 hours</t>
  </si>
  <si>
    <t>Accurate AI answers about the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</si>
</sst>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FFFFFF"/>
      <name val="Arial"/>
    </font>
    <font>
      <b/>
      <sz val="9"/>
      <color rgb="FFFFFFFF"/>
      <name val="Arial"/>
    </font>
    <font>
      <b/>
      <sz val="20"/>
      <color rgb="FFFFFFFF"/>
      <name val="Arial"/>
    </font>
    <font>
      <sz val="8"/>
      <color rgb="FFFFFFFF"/>
      <name val="Arial"/>
    </font>
    <font>
      <b/>
      <sz val="11"/>
      <color rgb="FF1F3864"/>
      <name val="Arial"/>
    </font>
    <font>
      <b/>
      <sz val="10"/>
      <color rgb="FFFFFFFF"/>
      <name val="Arial"/>
    </font>
    <font>
      <sz val="10"/>
      <name val="Arial"/>
    </font>
    <font>
      <b/>
      <sz val="11"/>
      <color rgb="FF9C0006"/>
      <name val="Arial"/>
    </font>
    <font>
      <sz val="11"/>
      <color rgb="FF9C6500"/>
      <name val="Arial"/>
    </font>
    <font>
      <sz val="11"/>
      <color rgb="FF276221"/>
      <name val="Arial"/>
    </font>
    <font>
      <sz val="10"/>
      <color rgb="FF808080"/>
      <name val="Arial"/>
    </font>
    <font>
      <b/>
      <sz val="10"/>
      <color rgb="FF1F3864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C00000"/>
      </patternFill>
    </fill>
    <fill>
      <patternFill patternType="solid">
        <fgColor rgb="FFED7D31"/>
      </patternFill>
    </fill>
    <fill>
      <patternFill patternType="solid">
        <fgColor rgb="FF808080"/>
      </patternFill>
    </fill>
    <fill>
      <patternFill patternType="solid">
        <fgColor rgb="FFD9E2F3"/>
      </patternFill>
    </fill>
    <fill>
      <patternFill patternType="solid">
        <fgColor rgb="FFF8CBAD"/>
      </patternFill>
    </fill>
    <fill>
      <patternFill patternType="solid">
        <fgColor rgb="FFFFE699"/>
      </patternFill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3" fontId="8" fillId="0" borderId="1" xfId="0" applyNumberFormat="1" applyFont="1" applyBorder="1"/>
    <xf numFmtId="164" fontId="8" fillId="0" borderId="1" xfId="0" applyNumberFormat="1" applyFont="1" applyBorder="1"/>
    <xf numFmtId="0" fontId="9" fillId="8" borderId="1" xfId="0" applyFont="1" applyFill="1" applyBorder="1" applyAlignment="1">
      <alignment horizontal="center"/>
    </xf>
    <xf numFmtId="0" fontId="10" fillId="9" borderId="1" xfId="0" applyFont="1" applyFill="1" applyBorder="1" applyAlignment="1">
      <alignment horizontal="center"/>
    </xf>
    <xf numFmtId="0" fontId="11" fillId="10" borderId="1" xfId="0" applyFont="1" applyFill="1" applyBorder="1" applyAlignment="1">
      <alignment horizontal="center"/>
    </xf>
    <xf numFmtId="0" fontId="8" fillId="0" borderId="1" xfId="0" applyFont="1" applyBorder="1" applyAlignment="1">
      <alignment vertical="top" wrapText="1"/>
    </xf>
    <xf numFmtId="0" fontId="8" fillId="8" borderId="1" xfId="0" applyFont="1" applyFill="1" applyBorder="1"/>
    <xf numFmtId="0" fontId="8" fillId="10" borderId="1" xfId="0" applyFont="1" applyFill="1" applyBorder="1"/>
    <xf numFmtId="0" fontId="12" fillId="0" borderId="1" xfId="0" applyFont="1" applyBorder="1"/>
    <xf numFmtId="0" fontId="13" fillId="0" borderId="1" xfId="0" applyFont="1" applyBorder="1" applyAlignment="1">
      <alignment vertical="top" wrapText="1"/>
    </xf>
    <xf numFmtId="0" fontId="4" fillId="6" borderId="0" xfId="0" applyFont="1" applyFill="1" applyAlignment="1">
      <alignment horizontal="center" vertical="center"/>
    </xf>
    <xf numFmtId="0" fontId="0" fillId="0" borderId="0" xfId="0"/>
    <xf numFmtId="0" fontId="8" fillId="0" borderId="1" xfId="0" applyFont="1" applyBorder="1"/>
    <xf numFmtId="0" fontId="0" fillId="0" borderId="2" xfId="0" applyBorder="1"/>
    <xf numFmtId="0" fontId="0" fillId="0" borderId="3" xfId="0" applyBorder="1"/>
    <xf numFmtId="0" fontId="5" fillId="4" borderId="0" xfId="0" applyFont="1" applyFill="1" applyAlignment="1">
      <alignment horizontal="center" vertical="top" wrapText="1"/>
    </xf>
    <xf numFmtId="0" fontId="5" fillId="6" borderId="0" xfId="0" applyFont="1" applyFill="1" applyAlignment="1">
      <alignment horizontal="center" vertical="top" wrapText="1"/>
    </xf>
    <xf numFmtId="0" fontId="5" fillId="5" borderId="0" xfId="0" applyFont="1" applyFill="1" applyAlignment="1">
      <alignment horizontal="center" vertical="top" wrapText="1"/>
    </xf>
    <xf numFmtId="0" fontId="6" fillId="7" borderId="0" xfId="0" applyFont="1" applyFill="1" applyAlignment="1">
      <alignment horizontal="left" vertical="center" indent="1"/>
    </xf>
    <xf numFmtId="0" fontId="3" fillId="6" borderId="0" xfId="0" applyFont="1" applyFill="1" applyAlignment="1">
      <alignment horizontal="center" wrapText="1"/>
    </xf>
    <xf numFmtId="0" fontId="1" fillId="2" borderId="0" xfId="0" applyFont="1" applyFill="1" applyAlignment="1">
      <alignment horizontal="left" vertical="center" indent="1"/>
    </xf>
    <xf numFmtId="164" fontId="4" fillId="4" borderId="0" xfId="0" applyNumberFormat="1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wrapText="1"/>
    </xf>
    <xf numFmtId="0" fontId="3" fillId="5" borderId="0" xfId="0" applyFont="1" applyFill="1" applyAlignment="1">
      <alignment horizontal="center" wrapText="1"/>
    </xf>
    <xf numFmtId="0" fontId="2" fillId="3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In-stock products affected by each SEO gap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C00000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'Executive Summary'!$A$10:$A$17</c:f>
              <c:strCache>
                <c:ptCount val="8"/>
                <c:pt idx="0">
                  <c:v>Missing SEO title tag</c:v>
                </c:pt>
                <c:pt idx="1">
                  <c:v>Missing tags</c:v>
                </c:pt>
                <c:pt idx="2">
                  <c:v>Missing meta description</c:v>
                </c:pt>
                <c:pt idx="3">
                  <c:v>Missing ALL product images</c:v>
                </c:pt>
                <c:pt idx="4">
                  <c:v>Missing description (body)</c:v>
                </c:pt>
                <c:pt idx="5">
                  <c:v>Duplicate titles</c:v>
                </c:pt>
                <c:pt idx="6">
                  <c:v>Short description (&lt;100 chars)</c:v>
                </c:pt>
                <c:pt idx="7">
                  <c:v>No alt text on any image</c:v>
                </c:pt>
              </c:strCache>
            </c:strRef>
          </c:cat>
          <c:val>
            <c:numRef>
              <c:f>'Executive Summary'!$B$10:$B$17</c:f>
              <c:numCache>
                <c:formatCode>#,##0</c:formatCode>
                <c:ptCount val="8"/>
                <c:pt idx="0">
                  <c:v>8459</c:v>
                </c:pt>
                <c:pt idx="1">
                  <c:v>10966</c:v>
                </c:pt>
                <c:pt idx="2">
                  <c:v>6564</c:v>
                </c:pt>
                <c:pt idx="3">
                  <c:v>3838</c:v>
                </c:pt>
                <c:pt idx="4">
                  <c:v>3522</c:v>
                </c:pt>
                <c:pt idx="5">
                  <c:v>909</c:v>
                </c:pt>
                <c:pt idx="6">
                  <c:v>828</c:v>
                </c:pt>
                <c:pt idx="7">
                  <c:v>738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42C-4F51-BFE5-6B37FB0893E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Collection description coverage (544 collections)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E9E-4BB7-9939-B2DAE3B48536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E9E-4BB7-9939-B2DAE3B48536}"/>
              </c:ext>
            </c:extLst>
          </c:dPt>
          <c:dPt>
            <c:idx val="2"/>
            <c:bubble3D val="0"/>
            <c:spPr>
              <a:solidFill>
                <a:srgbClr val="54823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E9E-4BB7-9939-B2DAE3B48536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'Executive Summary'!$A$29:$A$31</c:f>
              <c:strCache>
                <c:ptCount val="3"/>
                <c:pt idx="0">
                  <c:v>No description</c:v>
                </c:pt>
                <c:pt idx="1">
                  <c:v>Short (&lt;100 chars)</c:v>
                </c:pt>
                <c:pt idx="2">
                  <c:v>Good (100+ chars)</c:v>
                </c:pt>
              </c:strCache>
            </c:strRef>
          </c:cat>
          <c:val>
            <c:numRef>
              <c:f>'Executive Summary'!$B$29:$B$31</c:f>
              <c:numCache>
                <c:formatCode>#,##0</c:formatCode>
                <c:ptCount val="3"/>
                <c:pt idx="0">
                  <c:v>423</c:v>
                </c:pt>
                <c:pt idx="1">
                  <c:v>11</c:v>
                </c:pt>
                <c:pt idx="2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9E-4BB7-9939-B2DAE3B4853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10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Blog posts per year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808080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'Executive Summary'!$A$57:$A$63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</c:strCache>
            </c:strRef>
          </c:cat>
          <c:val>
            <c:numRef>
              <c:f>'Executive Summary'!$B$57:$B$63</c:f>
              <c:numCache>
                <c:formatCode>#,##0</c:formatCode>
                <c:ptCount val="7"/>
                <c:pt idx="0">
                  <c:v>17</c:v>
                </c:pt>
                <c:pt idx="1">
                  <c:v>18</c:v>
                </c:pt>
                <c:pt idx="2">
                  <c:v>3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B92-4991-87A2-E64E9149FA5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7</xdr:row>
      <xdr:rowOff>0</xdr:rowOff>
    </xdr:from>
    <xdr:ext cx="576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26</xdr:row>
      <xdr:rowOff>0</xdr:rowOff>
    </xdr:from>
    <xdr:ext cx="432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54</xdr:row>
      <xdr:rowOff>0</xdr:rowOff>
    </xdr:from>
    <xdr:ext cx="4320000" cy="23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M63"/>
  <sheetViews>
    <sheetView showGridLines="0" tabSelected="1" workbookViewId="0">
      <selection sqref="A1:M1"/>
    </sheetView>
  </sheetViews>
  <sheetFormatPr defaultRowHeight="15" x14ac:dyDescent="0.25"/>
  <cols>
    <col min="1" max="1" width="42" customWidth="1"/>
    <col min="2" max="5" width="12" customWidth="1"/>
    <col min="6" max="13" width="11" customWidth="1"/>
  </cols>
  <sheetData>
    <row r="1" spans="1:13" ht="30" customHeight="1" x14ac:dyDescent="0.25">
      <c r="A1" s="2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18" customHeight="1" x14ac:dyDescent="0.25">
      <c r="A2" s="28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ht="26.1" customHeight="1" x14ac:dyDescent="0.25">
      <c r="A4" s="26" t="s">
        <v>2</v>
      </c>
      <c r="B4" s="14"/>
      <c r="D4" s="26" t="s">
        <v>3</v>
      </c>
      <c r="E4" s="14"/>
      <c r="G4" s="27" t="s">
        <v>4</v>
      </c>
      <c r="H4" s="14"/>
      <c r="J4" s="22" t="s">
        <v>5</v>
      </c>
      <c r="K4" s="14"/>
    </row>
    <row r="5" spans="1:13" ht="30" customHeight="1" x14ac:dyDescent="0.25">
      <c r="A5" s="24">
        <v>0.72342427093132644</v>
      </c>
      <c r="B5" s="14"/>
      <c r="D5" s="24">
        <v>0.9378260497733687</v>
      </c>
      <c r="E5" s="14"/>
      <c r="G5" s="25">
        <v>0.77757352941176472</v>
      </c>
      <c r="H5" s="14"/>
      <c r="J5" s="13" t="s">
        <v>6</v>
      </c>
      <c r="K5" s="14"/>
    </row>
    <row r="6" spans="1:13" x14ac:dyDescent="0.25">
      <c r="A6" s="18" t="s">
        <v>7</v>
      </c>
      <c r="B6" s="14"/>
      <c r="D6" s="18" t="s">
        <v>8</v>
      </c>
      <c r="E6" s="14"/>
      <c r="G6" s="20" t="s">
        <v>9</v>
      </c>
      <c r="H6" s="14"/>
      <c r="J6" s="19" t="s">
        <v>10</v>
      </c>
      <c r="K6" s="14"/>
    </row>
    <row r="8" spans="1:13" ht="20.100000000000001" customHeight="1" x14ac:dyDescent="0.25">
      <c r="A8" s="21" t="s">
        <v>11</v>
      </c>
      <c r="B8" s="14"/>
      <c r="C8" s="14"/>
      <c r="D8" s="14"/>
      <c r="E8" s="14"/>
    </row>
    <row r="9" spans="1:13" ht="25.5" x14ac:dyDescent="0.25">
      <c r="A9" s="1" t="s">
        <v>12</v>
      </c>
      <c r="B9" s="1" t="s">
        <v>13</v>
      </c>
      <c r="C9" s="1" t="s">
        <v>14</v>
      </c>
      <c r="D9" s="1" t="s">
        <v>15</v>
      </c>
      <c r="E9" s="1" t="s">
        <v>16</v>
      </c>
    </row>
    <row r="10" spans="1:13" x14ac:dyDescent="0.25">
      <c r="A10" s="2" t="s">
        <v>17</v>
      </c>
      <c r="B10" s="3">
        <v>8459</v>
      </c>
      <c r="C10" s="4">
        <f t="shared" ref="C10:C17" si="0">B10/11693</f>
        <v>0.72342427093132644</v>
      </c>
      <c r="D10" s="3">
        <v>23950</v>
      </c>
      <c r="E10" s="5" t="s">
        <v>18</v>
      </c>
    </row>
    <row r="11" spans="1:13" x14ac:dyDescent="0.25">
      <c r="A11" s="2" t="s">
        <v>19</v>
      </c>
      <c r="B11" s="3">
        <v>10966</v>
      </c>
      <c r="C11" s="4">
        <f t="shared" si="0"/>
        <v>0.9378260497733687</v>
      </c>
      <c r="D11" s="3">
        <v>21626</v>
      </c>
      <c r="E11" s="5" t="s">
        <v>18</v>
      </c>
    </row>
    <row r="12" spans="1:13" x14ac:dyDescent="0.25">
      <c r="A12" s="2" t="s">
        <v>20</v>
      </c>
      <c r="B12" s="3">
        <v>6564</v>
      </c>
      <c r="C12" s="4">
        <f t="shared" si="0"/>
        <v>0.56136149833233562</v>
      </c>
      <c r="D12" s="3">
        <v>16161</v>
      </c>
      <c r="E12" s="5" t="s">
        <v>18</v>
      </c>
    </row>
    <row r="13" spans="1:13" x14ac:dyDescent="0.25">
      <c r="A13" s="2" t="s">
        <v>21</v>
      </c>
      <c r="B13" s="3">
        <v>3838</v>
      </c>
      <c r="C13" s="4">
        <f t="shared" si="0"/>
        <v>0.32823056529547595</v>
      </c>
      <c r="D13" s="3">
        <v>8034</v>
      </c>
      <c r="E13" s="5" t="s">
        <v>18</v>
      </c>
    </row>
    <row r="14" spans="1:13" x14ac:dyDescent="0.25">
      <c r="A14" s="2" t="s">
        <v>22</v>
      </c>
      <c r="B14" s="3">
        <v>3522</v>
      </c>
      <c r="C14" s="4">
        <f t="shared" si="0"/>
        <v>0.30120584965363895</v>
      </c>
      <c r="D14" s="3">
        <v>7657</v>
      </c>
      <c r="E14" s="5" t="s">
        <v>18</v>
      </c>
    </row>
    <row r="15" spans="1:13" x14ac:dyDescent="0.25">
      <c r="A15" s="2" t="s">
        <v>23</v>
      </c>
      <c r="B15" s="3">
        <v>909</v>
      </c>
      <c r="C15" s="4">
        <f t="shared" si="0"/>
        <v>7.773881809629693E-2</v>
      </c>
      <c r="D15" s="3">
        <v>1685</v>
      </c>
      <c r="E15" s="6" t="s">
        <v>24</v>
      </c>
    </row>
    <row r="16" spans="1:13" x14ac:dyDescent="0.25">
      <c r="A16" s="2" t="s">
        <v>25</v>
      </c>
      <c r="B16" s="3">
        <v>828</v>
      </c>
      <c r="C16" s="4">
        <f t="shared" si="0"/>
        <v>7.0811596681775418E-2</v>
      </c>
      <c r="D16" s="3">
        <v>3276</v>
      </c>
      <c r="E16" s="6" t="s">
        <v>24</v>
      </c>
    </row>
    <row r="17" spans="1:5" x14ac:dyDescent="0.25">
      <c r="A17" s="2" t="s">
        <v>26</v>
      </c>
      <c r="B17" s="3">
        <v>738</v>
      </c>
      <c r="C17" s="4">
        <f t="shared" si="0"/>
        <v>6.3114683998973742E-2</v>
      </c>
      <c r="D17" s="3">
        <v>2489</v>
      </c>
      <c r="E17" s="6" t="s">
        <v>24</v>
      </c>
    </row>
    <row r="27" spans="1:5" ht="20.100000000000001" customHeight="1" x14ac:dyDescent="0.25">
      <c r="A27" s="21" t="s">
        <v>27</v>
      </c>
      <c r="B27" s="14"/>
      <c r="C27" s="14"/>
      <c r="D27" s="14"/>
      <c r="E27" s="14"/>
    </row>
    <row r="28" spans="1:5" x14ac:dyDescent="0.25">
      <c r="A28" s="1" t="s">
        <v>28</v>
      </c>
      <c r="B28" s="1" t="s">
        <v>29</v>
      </c>
      <c r="C28" s="1" t="s">
        <v>30</v>
      </c>
    </row>
    <row r="29" spans="1:5" x14ac:dyDescent="0.25">
      <c r="A29" s="2" t="s">
        <v>31</v>
      </c>
      <c r="B29" s="3">
        <v>423</v>
      </c>
      <c r="C29" s="4">
        <f>B29/544</f>
        <v>0.77757352941176472</v>
      </c>
    </row>
    <row r="30" spans="1:5" x14ac:dyDescent="0.25">
      <c r="A30" s="2" t="s">
        <v>32</v>
      </c>
      <c r="B30" s="3">
        <v>11</v>
      </c>
      <c r="C30" s="4">
        <f>B30/544</f>
        <v>2.0220588235294119E-2</v>
      </c>
    </row>
    <row r="31" spans="1:5" x14ac:dyDescent="0.25">
      <c r="A31" s="2" t="s">
        <v>33</v>
      </c>
      <c r="B31" s="3">
        <v>110</v>
      </c>
      <c r="C31" s="4">
        <f>B31/544</f>
        <v>0.20220588235294118</v>
      </c>
    </row>
    <row r="32" spans="1:5" x14ac:dyDescent="0.25">
      <c r="A32" s="2" t="s">
        <v>34</v>
      </c>
      <c r="B32" s="3">
        <v>544</v>
      </c>
      <c r="C32" s="2"/>
    </row>
    <row r="33" spans="1:5" x14ac:dyDescent="0.25">
      <c r="A33" s="2" t="s">
        <v>35</v>
      </c>
      <c r="B33" s="3">
        <v>255</v>
      </c>
      <c r="C33" s="2"/>
    </row>
    <row r="34" spans="1:5" x14ac:dyDescent="0.25">
      <c r="A34" s="2" t="s">
        <v>36</v>
      </c>
      <c r="B34" s="3">
        <v>251</v>
      </c>
      <c r="C34" s="2"/>
    </row>
    <row r="35" spans="1:5" x14ac:dyDescent="0.25">
      <c r="A35" s="2" t="s">
        <v>37</v>
      </c>
      <c r="B35" s="3">
        <v>517</v>
      </c>
      <c r="C35" s="2"/>
    </row>
    <row r="36" spans="1:5" x14ac:dyDescent="0.25">
      <c r="A36" s="2" t="s">
        <v>38</v>
      </c>
      <c r="B36" s="3">
        <v>69</v>
      </c>
      <c r="C36" s="2"/>
    </row>
    <row r="44" spans="1:5" ht="20.100000000000001" customHeight="1" x14ac:dyDescent="0.25">
      <c r="A44" s="21" t="s">
        <v>39</v>
      </c>
      <c r="B44" s="14"/>
      <c r="C44" s="14"/>
      <c r="D44" s="14"/>
      <c r="E44" s="14"/>
    </row>
    <row r="45" spans="1:5" x14ac:dyDescent="0.25">
      <c r="A45" s="1" t="s">
        <v>40</v>
      </c>
      <c r="B45" s="1" t="s">
        <v>41</v>
      </c>
      <c r="C45" s="1"/>
      <c r="D45" s="1"/>
      <c r="E45" s="1" t="s">
        <v>16</v>
      </c>
    </row>
    <row r="46" spans="1:5" x14ac:dyDescent="0.25">
      <c r="A46" s="2" t="s">
        <v>42</v>
      </c>
      <c r="B46" s="15" t="s">
        <v>43</v>
      </c>
      <c r="C46" s="16"/>
      <c r="D46" s="17"/>
      <c r="E46" s="5" t="s">
        <v>18</v>
      </c>
    </row>
    <row r="47" spans="1:5" x14ac:dyDescent="0.25">
      <c r="A47" s="2" t="s">
        <v>44</v>
      </c>
      <c r="B47" s="15" t="s">
        <v>45</v>
      </c>
      <c r="C47" s="16"/>
      <c r="D47" s="17"/>
      <c r="E47" s="5" t="s">
        <v>18</v>
      </c>
    </row>
    <row r="48" spans="1:5" x14ac:dyDescent="0.25">
      <c r="A48" s="2" t="s">
        <v>46</v>
      </c>
      <c r="B48" s="15" t="s">
        <v>47</v>
      </c>
      <c r="C48" s="16"/>
      <c r="D48" s="17"/>
      <c r="E48" s="5" t="s">
        <v>18</v>
      </c>
    </row>
    <row r="49" spans="1:5" x14ac:dyDescent="0.25">
      <c r="A49" s="2" t="s">
        <v>48</v>
      </c>
      <c r="B49" s="15" t="s">
        <v>49</v>
      </c>
      <c r="C49" s="16"/>
      <c r="D49" s="17"/>
      <c r="E49" s="7" t="s">
        <v>50</v>
      </c>
    </row>
    <row r="50" spans="1:5" x14ac:dyDescent="0.25">
      <c r="A50" s="2" t="s">
        <v>51</v>
      </c>
      <c r="B50" s="15" t="s">
        <v>52</v>
      </c>
      <c r="C50" s="16"/>
      <c r="D50" s="17"/>
      <c r="E50" s="7" t="s">
        <v>50</v>
      </c>
    </row>
    <row r="51" spans="1:5" x14ac:dyDescent="0.25">
      <c r="A51" s="2" t="s">
        <v>53</v>
      </c>
      <c r="B51" s="15" t="s">
        <v>54</v>
      </c>
      <c r="C51" s="16"/>
      <c r="D51" s="17"/>
      <c r="E51" s="7" t="s">
        <v>50</v>
      </c>
    </row>
    <row r="52" spans="1:5" x14ac:dyDescent="0.25">
      <c r="A52" s="2" t="s">
        <v>55</v>
      </c>
      <c r="B52" s="15" t="s">
        <v>56</v>
      </c>
      <c r="C52" s="16"/>
      <c r="D52" s="17"/>
      <c r="E52" s="5" t="s">
        <v>18</v>
      </c>
    </row>
    <row r="53" spans="1:5" x14ac:dyDescent="0.25">
      <c r="A53" s="2" t="s">
        <v>57</v>
      </c>
      <c r="B53" s="15" t="s">
        <v>58</v>
      </c>
      <c r="C53" s="16"/>
      <c r="D53" s="17"/>
      <c r="E53" s="6" t="s">
        <v>24</v>
      </c>
    </row>
    <row r="55" spans="1:5" ht="20.100000000000001" customHeight="1" x14ac:dyDescent="0.25">
      <c r="A55" s="21" t="s">
        <v>59</v>
      </c>
      <c r="B55" s="14"/>
      <c r="C55" s="14"/>
      <c r="D55" s="14"/>
      <c r="E55" s="14"/>
    </row>
    <row r="56" spans="1:5" ht="25.5" x14ac:dyDescent="0.25">
      <c r="A56" s="1" t="s">
        <v>60</v>
      </c>
      <c r="B56" s="1" t="s">
        <v>61</v>
      </c>
    </row>
    <row r="57" spans="1:5" x14ac:dyDescent="0.25">
      <c r="A57" s="2" t="s">
        <v>62</v>
      </c>
      <c r="B57" s="3">
        <v>17</v>
      </c>
    </row>
    <row r="58" spans="1:5" x14ac:dyDescent="0.25">
      <c r="A58" s="2" t="s">
        <v>63</v>
      </c>
      <c r="B58" s="3">
        <v>18</v>
      </c>
    </row>
    <row r="59" spans="1:5" x14ac:dyDescent="0.25">
      <c r="A59" s="2" t="s">
        <v>64</v>
      </c>
      <c r="B59" s="3">
        <v>3</v>
      </c>
    </row>
    <row r="60" spans="1:5" x14ac:dyDescent="0.25">
      <c r="A60" s="2" t="s">
        <v>65</v>
      </c>
      <c r="B60" s="3">
        <v>2</v>
      </c>
    </row>
    <row r="61" spans="1:5" x14ac:dyDescent="0.25">
      <c r="A61" s="2" t="s">
        <v>66</v>
      </c>
      <c r="B61" s="3">
        <v>0</v>
      </c>
    </row>
    <row r="62" spans="1:5" x14ac:dyDescent="0.25">
      <c r="A62" s="2" t="s">
        <v>67</v>
      </c>
      <c r="B62" s="3">
        <v>1</v>
      </c>
    </row>
    <row r="63" spans="1:5" x14ac:dyDescent="0.25">
      <c r="A63" s="2" t="s">
        <v>68</v>
      </c>
      <c r="B63" s="3">
        <v>0</v>
      </c>
    </row>
  </sheetData>
  <mergeCells count="26">
    <mergeCell ref="A55:E55"/>
    <mergeCell ref="J4:K4"/>
    <mergeCell ref="A1:M1"/>
    <mergeCell ref="B50:D50"/>
    <mergeCell ref="A5:B5"/>
    <mergeCell ref="G5:H5"/>
    <mergeCell ref="D4:E4"/>
    <mergeCell ref="A8:E8"/>
    <mergeCell ref="B47:D47"/>
    <mergeCell ref="A4:B4"/>
    <mergeCell ref="G4:H4"/>
    <mergeCell ref="B46:D46"/>
    <mergeCell ref="D5:E5"/>
    <mergeCell ref="B52:D52"/>
    <mergeCell ref="A44:E44"/>
    <mergeCell ref="A2:M2"/>
    <mergeCell ref="J5:K5"/>
    <mergeCell ref="B53:D53"/>
    <mergeCell ref="A6:B6"/>
    <mergeCell ref="D6:E6"/>
    <mergeCell ref="J6:K6"/>
    <mergeCell ref="B49:D49"/>
    <mergeCell ref="G6:H6"/>
    <mergeCell ref="A27:E27"/>
    <mergeCell ref="B51:D51"/>
    <mergeCell ref="B48:D4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34" customWidth="1"/>
    <col min="2" max="2" width="10" customWidth="1"/>
    <col min="3" max="3" width="11" customWidth="1"/>
    <col min="4" max="4" width="12" customWidth="1"/>
    <col min="5" max="5" width="10" customWidth="1"/>
    <col min="6" max="6" width="12" customWidth="1"/>
    <col min="7" max="7" width="44" customWidth="1"/>
    <col min="8" max="8" width="38" customWidth="1"/>
  </cols>
  <sheetData>
    <row r="1" spans="1:8" ht="30" customHeight="1" x14ac:dyDescent="0.25">
      <c r="A1" s="23" t="s">
        <v>69</v>
      </c>
      <c r="B1" s="14"/>
      <c r="C1" s="14"/>
      <c r="D1" s="14"/>
      <c r="E1" s="14"/>
      <c r="F1" s="14"/>
      <c r="G1" s="14"/>
      <c r="H1" s="14"/>
    </row>
    <row r="2" spans="1:8" ht="18" customHeight="1" x14ac:dyDescent="0.25">
      <c r="A2" s="28" t="s">
        <v>70</v>
      </c>
      <c r="B2" s="14"/>
      <c r="C2" s="14"/>
      <c r="D2" s="14"/>
      <c r="E2" s="14"/>
      <c r="F2" s="14"/>
      <c r="G2" s="14"/>
      <c r="H2" s="14"/>
    </row>
    <row r="4" spans="1:8" x14ac:dyDescent="0.25">
      <c r="A4" s="1" t="s">
        <v>71</v>
      </c>
      <c r="B4" s="1" t="s">
        <v>13</v>
      </c>
      <c r="C4" s="1" t="s">
        <v>72</v>
      </c>
      <c r="D4" s="1" t="s">
        <v>73</v>
      </c>
      <c r="E4" s="1" t="s">
        <v>74</v>
      </c>
      <c r="F4" s="1" t="s">
        <v>16</v>
      </c>
      <c r="G4" s="1" t="s">
        <v>75</v>
      </c>
      <c r="H4" s="1" t="s">
        <v>76</v>
      </c>
    </row>
    <row r="5" spans="1:8" ht="25.5" x14ac:dyDescent="0.25">
      <c r="A5" s="2" t="s">
        <v>17</v>
      </c>
      <c r="B5" s="3">
        <v>8459</v>
      </c>
      <c r="C5" s="4">
        <f t="shared" ref="C5:C14" si="0">B5/11693</f>
        <v>0.72342427093132644</v>
      </c>
      <c r="D5" s="3">
        <v>23950</v>
      </c>
      <c r="E5" s="4">
        <f t="shared" ref="E5:E14" si="1">D5/36047</f>
        <v>0.66441035315005414</v>
      </c>
      <c r="F5" s="5" t="s">
        <v>18</v>
      </c>
      <c r="G5" s="8" t="s">
        <v>77</v>
      </c>
      <c r="H5" s="8" t="s">
        <v>78</v>
      </c>
    </row>
    <row r="6" spans="1:8" ht="25.5" x14ac:dyDescent="0.25">
      <c r="A6" s="2" t="s">
        <v>19</v>
      </c>
      <c r="B6" s="3">
        <v>10966</v>
      </c>
      <c r="C6" s="4">
        <f t="shared" si="0"/>
        <v>0.9378260497733687</v>
      </c>
      <c r="D6" s="3">
        <v>21626</v>
      </c>
      <c r="E6" s="4">
        <f t="shared" si="1"/>
        <v>0.5999389685688129</v>
      </c>
      <c r="F6" s="5" t="s">
        <v>18</v>
      </c>
      <c r="G6" s="8" t="s">
        <v>79</v>
      </c>
      <c r="H6" s="8" t="s">
        <v>80</v>
      </c>
    </row>
    <row r="7" spans="1:8" x14ac:dyDescent="0.25">
      <c r="A7" s="2" t="s">
        <v>20</v>
      </c>
      <c r="B7" s="3">
        <v>6564</v>
      </c>
      <c r="C7" s="4">
        <f t="shared" si="0"/>
        <v>0.56136149833233562</v>
      </c>
      <c r="D7" s="3">
        <v>16161</v>
      </c>
      <c r="E7" s="4">
        <f t="shared" si="1"/>
        <v>0.44833134518822648</v>
      </c>
      <c r="F7" s="5" t="s">
        <v>18</v>
      </c>
      <c r="G7" s="8" t="s">
        <v>81</v>
      </c>
      <c r="H7" s="8" t="s">
        <v>82</v>
      </c>
    </row>
    <row r="8" spans="1:8" x14ac:dyDescent="0.25">
      <c r="A8" s="2" t="s">
        <v>83</v>
      </c>
      <c r="B8" s="3">
        <v>3838</v>
      </c>
      <c r="C8" s="4">
        <f t="shared" si="0"/>
        <v>0.32823056529547595</v>
      </c>
      <c r="D8" s="3">
        <v>8034</v>
      </c>
      <c r="E8" s="4">
        <f t="shared" si="1"/>
        <v>0.22287569007129582</v>
      </c>
      <c r="F8" s="5" t="s">
        <v>18</v>
      </c>
      <c r="G8" s="8" t="s">
        <v>84</v>
      </c>
      <c r="H8" s="8" t="s">
        <v>85</v>
      </c>
    </row>
    <row r="9" spans="1:8" ht="25.5" x14ac:dyDescent="0.25">
      <c r="A9" s="2" t="s">
        <v>22</v>
      </c>
      <c r="B9" s="3">
        <v>3522</v>
      </c>
      <c r="C9" s="4">
        <f t="shared" si="0"/>
        <v>0.30120584965363895</v>
      </c>
      <c r="D9" s="3">
        <v>7657</v>
      </c>
      <c r="E9" s="4">
        <f t="shared" si="1"/>
        <v>0.21241712209060393</v>
      </c>
      <c r="F9" s="5" t="s">
        <v>18</v>
      </c>
      <c r="G9" s="8" t="s">
        <v>86</v>
      </c>
      <c r="H9" s="8" t="s">
        <v>87</v>
      </c>
    </row>
    <row r="10" spans="1:8" x14ac:dyDescent="0.25">
      <c r="A10" s="2" t="s">
        <v>25</v>
      </c>
      <c r="B10" s="3">
        <v>828</v>
      </c>
      <c r="C10" s="4">
        <f t="shared" si="0"/>
        <v>7.0811596681775418E-2</v>
      </c>
      <c r="D10" s="3">
        <v>3276</v>
      </c>
      <c r="E10" s="4">
        <f t="shared" si="1"/>
        <v>9.0881349349460433E-2</v>
      </c>
      <c r="F10" s="6" t="s">
        <v>24</v>
      </c>
      <c r="G10" s="8" t="s">
        <v>88</v>
      </c>
      <c r="H10" s="8" t="s">
        <v>89</v>
      </c>
    </row>
    <row r="11" spans="1:8" ht="25.5" x14ac:dyDescent="0.25">
      <c r="A11" s="2" t="s">
        <v>90</v>
      </c>
      <c r="B11" s="3">
        <v>1277</v>
      </c>
      <c r="C11" s="4">
        <f t="shared" si="0"/>
        <v>0.10921063884375268</v>
      </c>
      <c r="D11" s="3">
        <v>3732</v>
      </c>
      <c r="E11" s="4">
        <f t="shared" si="1"/>
        <v>0.10353150054096041</v>
      </c>
      <c r="F11" s="6" t="s">
        <v>24</v>
      </c>
      <c r="G11" s="8" t="s">
        <v>91</v>
      </c>
      <c r="H11" s="8" t="s">
        <v>92</v>
      </c>
    </row>
    <row r="12" spans="1:8" x14ac:dyDescent="0.25">
      <c r="A12" s="2" t="s">
        <v>93</v>
      </c>
      <c r="B12" s="3">
        <v>738</v>
      </c>
      <c r="C12" s="4">
        <f t="shared" si="0"/>
        <v>6.3114683998973742E-2</v>
      </c>
      <c r="D12" s="3">
        <v>2489</v>
      </c>
      <c r="E12" s="4">
        <f t="shared" si="1"/>
        <v>6.9048741920270759E-2</v>
      </c>
      <c r="F12" s="6" t="s">
        <v>24</v>
      </c>
      <c r="G12" s="8" t="s">
        <v>94</v>
      </c>
      <c r="H12" s="8" t="s">
        <v>95</v>
      </c>
    </row>
    <row r="13" spans="1:8" x14ac:dyDescent="0.25">
      <c r="A13" s="2" t="s">
        <v>96</v>
      </c>
      <c r="B13" s="3">
        <v>909</v>
      </c>
      <c r="C13" s="4">
        <f t="shared" si="0"/>
        <v>7.773881809629693E-2</v>
      </c>
      <c r="D13" s="3">
        <v>1685</v>
      </c>
      <c r="E13" s="4">
        <f t="shared" si="1"/>
        <v>4.6744527977362886E-2</v>
      </c>
      <c r="F13" s="6" t="s">
        <v>24</v>
      </c>
      <c r="G13" s="8" t="s">
        <v>97</v>
      </c>
      <c r="H13" s="8" t="s">
        <v>98</v>
      </c>
    </row>
    <row r="14" spans="1:8" x14ac:dyDescent="0.25">
      <c r="A14" s="2" t="s">
        <v>99</v>
      </c>
      <c r="B14" s="3">
        <v>51</v>
      </c>
      <c r="C14" s="4">
        <f t="shared" si="0"/>
        <v>4.3615838535876169E-3</v>
      </c>
      <c r="D14" s="3">
        <v>166</v>
      </c>
      <c r="E14" s="4">
        <f t="shared" si="1"/>
        <v>4.6050988986600823E-3</v>
      </c>
      <c r="F14" s="7" t="s">
        <v>50</v>
      </c>
      <c r="G14" s="8" t="s">
        <v>100</v>
      </c>
      <c r="H14" s="8" t="s">
        <v>101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9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12" customWidth="1"/>
    <col min="2" max="2" width="38" customWidth="1"/>
    <col min="3" max="3" width="30" customWidth="1"/>
    <col min="4" max="4" width="10" customWidth="1"/>
    <col min="5" max="5" width="12" customWidth="1"/>
    <col min="6" max="6" width="11" customWidth="1"/>
    <col min="7" max="7" width="14" customWidth="1"/>
    <col min="8" max="8" width="52" customWidth="1"/>
    <col min="9" max="9" width="11" customWidth="1"/>
  </cols>
  <sheetData>
    <row r="1" spans="1:9" ht="30" customHeight="1" x14ac:dyDescent="0.25">
      <c r="A1" s="23" t="s">
        <v>102</v>
      </c>
      <c r="B1" s="14"/>
      <c r="C1" s="14"/>
      <c r="D1" s="14"/>
      <c r="E1" s="14"/>
      <c r="F1" s="14"/>
      <c r="G1" s="14"/>
      <c r="H1" s="14"/>
      <c r="I1" s="14"/>
    </row>
    <row r="2" spans="1:9" ht="18" customHeight="1" x14ac:dyDescent="0.25">
      <c r="A2" s="28" t="s">
        <v>103</v>
      </c>
      <c r="B2" s="14"/>
      <c r="C2" s="14"/>
      <c r="D2" s="14"/>
      <c r="E2" s="14"/>
      <c r="F2" s="14"/>
      <c r="G2" s="14"/>
      <c r="H2" s="14"/>
      <c r="I2" s="14"/>
    </row>
    <row r="4" spans="1:9" ht="25.5" x14ac:dyDescent="0.25">
      <c r="A4" s="1" t="s">
        <v>104</v>
      </c>
      <c r="B4" s="1" t="s">
        <v>105</v>
      </c>
      <c r="C4" s="1" t="s">
        <v>106</v>
      </c>
      <c r="D4" s="1" t="s">
        <v>107</v>
      </c>
      <c r="E4" s="1" t="s">
        <v>108</v>
      </c>
      <c r="F4" s="1" t="s">
        <v>109</v>
      </c>
      <c r="G4" s="1" t="s">
        <v>110</v>
      </c>
      <c r="H4" s="1" t="s">
        <v>111</v>
      </c>
      <c r="I4" s="1" t="s">
        <v>112</v>
      </c>
    </row>
    <row r="5" spans="1:9" x14ac:dyDescent="0.25">
      <c r="A5" s="2" t="s">
        <v>113</v>
      </c>
      <c r="B5" s="2" t="s">
        <v>114</v>
      </c>
      <c r="C5" s="2" t="s">
        <v>115</v>
      </c>
      <c r="D5" s="3">
        <v>6</v>
      </c>
      <c r="E5" s="2" t="s">
        <v>116</v>
      </c>
      <c r="F5" s="3">
        <v>0</v>
      </c>
      <c r="G5" s="2" t="s">
        <v>116</v>
      </c>
      <c r="H5" s="2" t="s">
        <v>117</v>
      </c>
      <c r="I5" s="9" t="s">
        <v>118</v>
      </c>
    </row>
    <row r="6" spans="1:9" x14ac:dyDescent="0.25">
      <c r="A6" s="2" t="s">
        <v>113</v>
      </c>
      <c r="B6" s="2" t="s">
        <v>119</v>
      </c>
      <c r="C6" s="2" t="s">
        <v>120</v>
      </c>
      <c r="D6" s="3">
        <v>8497</v>
      </c>
      <c r="E6" s="2" t="s">
        <v>118</v>
      </c>
      <c r="F6" s="3">
        <v>350</v>
      </c>
      <c r="G6" s="2" t="s">
        <v>116</v>
      </c>
      <c r="H6" s="2" t="s">
        <v>121</v>
      </c>
      <c r="I6" s="9" t="s">
        <v>118</v>
      </c>
    </row>
    <row r="7" spans="1:9" x14ac:dyDescent="0.25">
      <c r="A7" s="2" t="s">
        <v>113</v>
      </c>
      <c r="B7" s="2" t="s">
        <v>122</v>
      </c>
      <c r="C7" s="2" t="s">
        <v>123</v>
      </c>
      <c r="D7" s="3">
        <v>24</v>
      </c>
      <c r="E7" s="2" t="s">
        <v>116</v>
      </c>
      <c r="F7" s="3">
        <v>0</v>
      </c>
      <c r="G7" s="2" t="s">
        <v>116</v>
      </c>
      <c r="H7" s="2" t="s">
        <v>124</v>
      </c>
      <c r="I7" s="9" t="s">
        <v>118</v>
      </c>
    </row>
    <row r="8" spans="1:9" x14ac:dyDescent="0.25">
      <c r="A8" s="2" t="s">
        <v>113</v>
      </c>
      <c r="B8" s="2" t="s">
        <v>125</v>
      </c>
      <c r="C8" s="2" t="s">
        <v>126</v>
      </c>
      <c r="D8" s="3">
        <v>5819</v>
      </c>
      <c r="E8" s="2" t="s">
        <v>116</v>
      </c>
      <c r="F8" s="3">
        <v>0</v>
      </c>
      <c r="G8" s="2" t="s">
        <v>116</v>
      </c>
      <c r="H8" s="2" t="s">
        <v>127</v>
      </c>
      <c r="I8" s="9" t="s">
        <v>118</v>
      </c>
    </row>
    <row r="9" spans="1:9" x14ac:dyDescent="0.25">
      <c r="A9" s="2" t="s">
        <v>113</v>
      </c>
      <c r="B9" s="2" t="s">
        <v>128</v>
      </c>
      <c r="C9" s="2" t="s">
        <v>129</v>
      </c>
      <c r="D9" s="3">
        <v>5465</v>
      </c>
      <c r="E9" s="2" t="s">
        <v>116</v>
      </c>
      <c r="F9" s="3">
        <v>0</v>
      </c>
      <c r="G9" s="2" t="s">
        <v>116</v>
      </c>
      <c r="H9" s="2" t="s">
        <v>130</v>
      </c>
      <c r="I9" s="9" t="s">
        <v>118</v>
      </c>
    </row>
    <row r="10" spans="1:9" x14ac:dyDescent="0.25">
      <c r="A10" s="2" t="s">
        <v>113</v>
      </c>
      <c r="B10" s="2" t="s">
        <v>131</v>
      </c>
      <c r="C10" s="2" t="s">
        <v>132</v>
      </c>
      <c r="D10" s="3">
        <v>113</v>
      </c>
      <c r="E10" s="2" t="s">
        <v>116</v>
      </c>
      <c r="F10" s="3">
        <v>0</v>
      </c>
      <c r="G10" s="2" t="s">
        <v>116</v>
      </c>
      <c r="H10" s="2" t="s">
        <v>133</v>
      </c>
      <c r="I10" s="9" t="s">
        <v>118</v>
      </c>
    </row>
    <row r="11" spans="1:9" x14ac:dyDescent="0.25">
      <c r="A11" s="2" t="s">
        <v>113</v>
      </c>
      <c r="B11" s="2" t="s">
        <v>134</v>
      </c>
      <c r="C11" s="2" t="s">
        <v>135</v>
      </c>
      <c r="D11" s="3">
        <v>1715</v>
      </c>
      <c r="E11" s="2" t="s">
        <v>116</v>
      </c>
      <c r="F11" s="3">
        <v>0</v>
      </c>
      <c r="G11" s="2" t="s">
        <v>116</v>
      </c>
      <c r="H11" s="2" t="s">
        <v>136</v>
      </c>
      <c r="I11" s="9" t="s">
        <v>118</v>
      </c>
    </row>
    <row r="12" spans="1:9" x14ac:dyDescent="0.25">
      <c r="A12" s="2" t="s">
        <v>113</v>
      </c>
      <c r="B12" s="2" t="s">
        <v>137</v>
      </c>
      <c r="C12" s="2" t="s">
        <v>138</v>
      </c>
      <c r="D12" s="3">
        <v>52</v>
      </c>
      <c r="E12" s="2" t="s">
        <v>116</v>
      </c>
      <c r="F12" s="3">
        <v>0</v>
      </c>
      <c r="G12" s="2" t="s">
        <v>116</v>
      </c>
      <c r="H12" s="2" t="s">
        <v>139</v>
      </c>
      <c r="I12" s="9" t="s">
        <v>118</v>
      </c>
    </row>
    <row r="13" spans="1:9" x14ac:dyDescent="0.25">
      <c r="A13" s="2" t="s">
        <v>113</v>
      </c>
      <c r="B13" s="2" t="s">
        <v>140</v>
      </c>
      <c r="C13" s="2" t="s">
        <v>141</v>
      </c>
      <c r="D13" s="3">
        <v>1</v>
      </c>
      <c r="E13" s="2" t="s">
        <v>116</v>
      </c>
      <c r="F13" s="3">
        <v>0</v>
      </c>
      <c r="G13" s="2" t="s">
        <v>116</v>
      </c>
      <c r="H13" s="2" t="s">
        <v>142</v>
      </c>
      <c r="I13" s="9" t="s">
        <v>118</v>
      </c>
    </row>
    <row r="14" spans="1:9" x14ac:dyDescent="0.25">
      <c r="A14" s="2" t="s">
        <v>113</v>
      </c>
      <c r="B14" s="2" t="s">
        <v>143</v>
      </c>
      <c r="C14" s="2" t="s">
        <v>144</v>
      </c>
      <c r="D14" s="3">
        <v>40</v>
      </c>
      <c r="E14" s="2" t="s">
        <v>116</v>
      </c>
      <c r="F14" s="3">
        <v>0</v>
      </c>
      <c r="G14" s="2" t="s">
        <v>116</v>
      </c>
      <c r="H14" s="2" t="s">
        <v>145</v>
      </c>
      <c r="I14" s="9" t="s">
        <v>118</v>
      </c>
    </row>
    <row r="15" spans="1:9" x14ac:dyDescent="0.25">
      <c r="A15" s="2" t="s">
        <v>113</v>
      </c>
      <c r="B15" s="2" t="s">
        <v>146</v>
      </c>
      <c r="C15" s="2" t="s">
        <v>147</v>
      </c>
      <c r="D15" s="3">
        <v>151</v>
      </c>
      <c r="E15" s="2" t="s">
        <v>148</v>
      </c>
      <c r="F15" s="3">
        <v>24</v>
      </c>
      <c r="G15" s="2" t="s">
        <v>116</v>
      </c>
      <c r="H15" s="2" t="s">
        <v>149</v>
      </c>
      <c r="I15" s="9" t="s">
        <v>118</v>
      </c>
    </row>
    <row r="16" spans="1:9" x14ac:dyDescent="0.25">
      <c r="A16" s="2" t="s">
        <v>113</v>
      </c>
      <c r="B16" s="2" t="s">
        <v>150</v>
      </c>
      <c r="C16" s="2" t="s">
        <v>151</v>
      </c>
      <c r="D16" s="3">
        <v>19</v>
      </c>
      <c r="E16" s="2" t="s">
        <v>116</v>
      </c>
      <c r="F16" s="3">
        <v>0</v>
      </c>
      <c r="G16" s="2" t="s">
        <v>116</v>
      </c>
      <c r="H16" s="2" t="s">
        <v>152</v>
      </c>
      <c r="I16" s="9" t="s">
        <v>118</v>
      </c>
    </row>
    <row r="17" spans="1:9" x14ac:dyDescent="0.25">
      <c r="A17" s="2" t="s">
        <v>113</v>
      </c>
      <c r="B17" s="2" t="s">
        <v>153</v>
      </c>
      <c r="C17" s="2" t="s">
        <v>154</v>
      </c>
      <c r="D17" s="3">
        <v>11818</v>
      </c>
      <c r="E17" s="2" t="s">
        <v>148</v>
      </c>
      <c r="F17" s="3">
        <v>12</v>
      </c>
      <c r="G17" s="2" t="s">
        <v>116</v>
      </c>
      <c r="H17" s="2" t="s">
        <v>155</v>
      </c>
      <c r="I17" s="9" t="s">
        <v>118</v>
      </c>
    </row>
    <row r="18" spans="1:9" x14ac:dyDescent="0.25">
      <c r="A18" s="2" t="s">
        <v>113</v>
      </c>
      <c r="B18" s="2" t="s">
        <v>156</v>
      </c>
      <c r="C18" s="2" t="s">
        <v>157</v>
      </c>
      <c r="D18" s="3">
        <v>44</v>
      </c>
      <c r="E18" s="2" t="s">
        <v>116</v>
      </c>
      <c r="F18" s="3">
        <v>0</v>
      </c>
      <c r="G18" s="2" t="s">
        <v>116</v>
      </c>
      <c r="H18" s="2" t="s">
        <v>158</v>
      </c>
      <c r="I18" s="9" t="s">
        <v>118</v>
      </c>
    </row>
    <row r="19" spans="1:9" x14ac:dyDescent="0.25">
      <c r="A19" s="2" t="s">
        <v>113</v>
      </c>
      <c r="B19" s="2" t="s">
        <v>159</v>
      </c>
      <c r="C19" s="2" t="s">
        <v>160</v>
      </c>
      <c r="D19" s="3">
        <v>52</v>
      </c>
      <c r="E19" s="2" t="s">
        <v>116</v>
      </c>
      <c r="F19" s="3">
        <v>0</v>
      </c>
      <c r="G19" s="2" t="s">
        <v>116</v>
      </c>
      <c r="H19" s="2" t="s">
        <v>161</v>
      </c>
      <c r="I19" s="9" t="s">
        <v>118</v>
      </c>
    </row>
    <row r="20" spans="1:9" x14ac:dyDescent="0.25">
      <c r="A20" s="2" t="s">
        <v>113</v>
      </c>
      <c r="B20" s="2" t="s">
        <v>162</v>
      </c>
      <c r="C20" s="2" t="s">
        <v>163</v>
      </c>
      <c r="D20" s="3">
        <v>930</v>
      </c>
      <c r="E20" s="2" t="s">
        <v>148</v>
      </c>
      <c r="F20" s="3">
        <v>86</v>
      </c>
      <c r="G20" s="2" t="s">
        <v>118</v>
      </c>
      <c r="H20" s="2" t="s">
        <v>164</v>
      </c>
      <c r="I20" s="9" t="s">
        <v>118</v>
      </c>
    </row>
    <row r="21" spans="1:9" x14ac:dyDescent="0.25">
      <c r="A21" s="2" t="s">
        <v>113</v>
      </c>
      <c r="B21" s="2" t="s">
        <v>165</v>
      </c>
      <c r="C21" s="2" t="s">
        <v>166</v>
      </c>
      <c r="D21" s="3">
        <v>1256</v>
      </c>
      <c r="E21" s="2" t="s">
        <v>118</v>
      </c>
      <c r="F21" s="3">
        <v>489</v>
      </c>
      <c r="G21" s="2" t="s">
        <v>116</v>
      </c>
      <c r="H21" s="2" t="s">
        <v>167</v>
      </c>
      <c r="I21" s="9" t="s">
        <v>118</v>
      </c>
    </row>
    <row r="22" spans="1:9" x14ac:dyDescent="0.25">
      <c r="A22" s="2" t="s">
        <v>113</v>
      </c>
      <c r="B22" s="2" t="s">
        <v>168</v>
      </c>
      <c r="C22" s="2" t="s">
        <v>169</v>
      </c>
      <c r="D22" s="3">
        <v>213</v>
      </c>
      <c r="E22" s="2" t="s">
        <v>118</v>
      </c>
      <c r="F22" s="3">
        <v>384</v>
      </c>
      <c r="G22" s="2" t="s">
        <v>116</v>
      </c>
      <c r="H22" s="2" t="s">
        <v>170</v>
      </c>
      <c r="I22" s="9" t="s">
        <v>118</v>
      </c>
    </row>
    <row r="23" spans="1:9" x14ac:dyDescent="0.25">
      <c r="A23" s="2" t="s">
        <v>113</v>
      </c>
      <c r="B23" s="2" t="s">
        <v>171</v>
      </c>
      <c r="C23" s="2" t="s">
        <v>172</v>
      </c>
      <c r="D23" s="3">
        <v>68</v>
      </c>
      <c r="E23" s="2" t="s">
        <v>118</v>
      </c>
      <c r="F23" s="3">
        <v>1027</v>
      </c>
      <c r="G23" s="2" t="s">
        <v>118</v>
      </c>
      <c r="H23" s="2"/>
      <c r="I23" s="10" t="s">
        <v>116</v>
      </c>
    </row>
    <row r="24" spans="1:9" x14ac:dyDescent="0.25">
      <c r="A24" s="2" t="s">
        <v>113</v>
      </c>
      <c r="B24" s="2" t="s">
        <v>173</v>
      </c>
      <c r="C24" s="2" t="s">
        <v>174</v>
      </c>
      <c r="D24" s="3">
        <v>68</v>
      </c>
      <c r="E24" s="2" t="s">
        <v>116</v>
      </c>
      <c r="F24" s="3">
        <v>0</v>
      </c>
      <c r="G24" s="2" t="s">
        <v>116</v>
      </c>
      <c r="H24" s="2" t="s">
        <v>175</v>
      </c>
      <c r="I24" s="9" t="s">
        <v>118</v>
      </c>
    </row>
    <row r="25" spans="1:9" x14ac:dyDescent="0.25">
      <c r="A25" s="2" t="s">
        <v>176</v>
      </c>
      <c r="B25" s="2" t="s">
        <v>177</v>
      </c>
      <c r="C25" s="2" t="s">
        <v>178</v>
      </c>
      <c r="D25" s="3">
        <v>5007</v>
      </c>
      <c r="E25" s="2" t="s">
        <v>118</v>
      </c>
      <c r="F25" s="3">
        <v>555</v>
      </c>
      <c r="G25" s="2" t="s">
        <v>116</v>
      </c>
      <c r="H25" s="2" t="s">
        <v>179</v>
      </c>
      <c r="I25" s="9" t="s">
        <v>118</v>
      </c>
    </row>
    <row r="26" spans="1:9" x14ac:dyDescent="0.25">
      <c r="A26" s="2" t="s">
        <v>176</v>
      </c>
      <c r="B26" s="2" t="s">
        <v>180</v>
      </c>
      <c r="C26" s="2" t="s">
        <v>181</v>
      </c>
      <c r="D26" s="3">
        <v>17</v>
      </c>
      <c r="E26" s="2" t="s">
        <v>116</v>
      </c>
      <c r="F26" s="3">
        <v>0</v>
      </c>
      <c r="G26" s="2" t="s">
        <v>116</v>
      </c>
      <c r="H26" s="2" t="s">
        <v>182</v>
      </c>
      <c r="I26" s="9" t="s">
        <v>118</v>
      </c>
    </row>
    <row r="27" spans="1:9" x14ac:dyDescent="0.25">
      <c r="A27" s="2" t="s">
        <v>176</v>
      </c>
      <c r="B27" s="2" t="s">
        <v>183</v>
      </c>
      <c r="C27" s="2" t="s">
        <v>184</v>
      </c>
      <c r="D27" s="3">
        <v>118</v>
      </c>
      <c r="E27" s="2" t="s">
        <v>116</v>
      </c>
      <c r="F27" s="3">
        <v>0</v>
      </c>
      <c r="G27" s="2" t="s">
        <v>116</v>
      </c>
      <c r="H27" s="2" t="s">
        <v>185</v>
      </c>
      <c r="I27" s="9" t="s">
        <v>118</v>
      </c>
    </row>
    <row r="28" spans="1:9" x14ac:dyDescent="0.25">
      <c r="A28" s="2" t="s">
        <v>176</v>
      </c>
      <c r="B28" s="2" t="s">
        <v>186</v>
      </c>
      <c r="C28" s="2" t="s">
        <v>187</v>
      </c>
      <c r="D28" s="3">
        <v>126</v>
      </c>
      <c r="E28" s="2" t="s">
        <v>116</v>
      </c>
      <c r="F28" s="3">
        <v>0</v>
      </c>
      <c r="G28" s="2" t="s">
        <v>116</v>
      </c>
      <c r="H28" s="2" t="s">
        <v>188</v>
      </c>
      <c r="I28" s="9" t="s">
        <v>118</v>
      </c>
    </row>
    <row r="29" spans="1:9" x14ac:dyDescent="0.25">
      <c r="A29" s="2" t="s">
        <v>176</v>
      </c>
      <c r="B29" s="2" t="s">
        <v>189</v>
      </c>
      <c r="C29" s="2" t="s">
        <v>190</v>
      </c>
      <c r="D29" s="3">
        <v>97</v>
      </c>
      <c r="E29" s="2" t="s">
        <v>116</v>
      </c>
      <c r="F29" s="3">
        <v>0</v>
      </c>
      <c r="G29" s="2" t="s">
        <v>116</v>
      </c>
      <c r="H29" s="2" t="s">
        <v>191</v>
      </c>
      <c r="I29" s="9" t="s">
        <v>118</v>
      </c>
    </row>
    <row r="30" spans="1:9" x14ac:dyDescent="0.25">
      <c r="A30" s="2" t="s">
        <v>176</v>
      </c>
      <c r="B30" s="2" t="s">
        <v>192</v>
      </c>
      <c r="C30" s="2" t="s">
        <v>193</v>
      </c>
      <c r="D30" s="3">
        <v>527</v>
      </c>
      <c r="E30" s="2" t="s">
        <v>116</v>
      </c>
      <c r="F30" s="3">
        <v>0</v>
      </c>
      <c r="G30" s="2" t="s">
        <v>116</v>
      </c>
      <c r="H30" s="2" t="s">
        <v>194</v>
      </c>
      <c r="I30" s="9" t="s">
        <v>118</v>
      </c>
    </row>
    <row r="31" spans="1:9" x14ac:dyDescent="0.25">
      <c r="A31" s="2" t="s">
        <v>176</v>
      </c>
      <c r="B31" s="2" t="s">
        <v>195</v>
      </c>
      <c r="C31" s="2" t="s">
        <v>196</v>
      </c>
      <c r="D31" s="3">
        <v>21</v>
      </c>
      <c r="E31" s="2" t="s">
        <v>116</v>
      </c>
      <c r="F31" s="3">
        <v>0</v>
      </c>
      <c r="G31" s="2" t="s">
        <v>116</v>
      </c>
      <c r="H31" s="2" t="s">
        <v>197</v>
      </c>
      <c r="I31" s="9" t="s">
        <v>118</v>
      </c>
    </row>
    <row r="32" spans="1:9" x14ac:dyDescent="0.25">
      <c r="A32" s="2" t="s">
        <v>176</v>
      </c>
      <c r="B32" s="2" t="s">
        <v>198</v>
      </c>
      <c r="C32" s="2" t="s">
        <v>199</v>
      </c>
      <c r="D32" s="3">
        <v>94</v>
      </c>
      <c r="E32" s="2" t="s">
        <v>116</v>
      </c>
      <c r="F32" s="3">
        <v>0</v>
      </c>
      <c r="G32" s="2" t="s">
        <v>116</v>
      </c>
      <c r="H32" s="2" t="s">
        <v>200</v>
      </c>
      <c r="I32" s="9" t="s">
        <v>118</v>
      </c>
    </row>
    <row r="33" spans="1:9" x14ac:dyDescent="0.25">
      <c r="A33" s="2" t="s">
        <v>176</v>
      </c>
      <c r="B33" s="2" t="s">
        <v>201</v>
      </c>
      <c r="C33" s="2" t="s">
        <v>202</v>
      </c>
      <c r="D33" s="3">
        <v>264</v>
      </c>
      <c r="E33" s="2" t="s">
        <v>116</v>
      </c>
      <c r="F33" s="3">
        <v>0</v>
      </c>
      <c r="G33" s="2" t="s">
        <v>116</v>
      </c>
      <c r="H33" s="2" t="s">
        <v>203</v>
      </c>
      <c r="I33" s="9" t="s">
        <v>118</v>
      </c>
    </row>
    <row r="34" spans="1:9" x14ac:dyDescent="0.25">
      <c r="A34" s="2" t="s">
        <v>176</v>
      </c>
      <c r="B34" s="2" t="s">
        <v>204</v>
      </c>
      <c r="C34" s="2" t="s">
        <v>205</v>
      </c>
      <c r="D34" s="3">
        <v>852</v>
      </c>
      <c r="E34" s="2" t="s">
        <v>116</v>
      </c>
      <c r="F34" s="3">
        <v>0</v>
      </c>
      <c r="G34" s="2" t="s">
        <v>116</v>
      </c>
      <c r="H34" s="2" t="s">
        <v>206</v>
      </c>
      <c r="I34" s="9" t="s">
        <v>118</v>
      </c>
    </row>
    <row r="35" spans="1:9" x14ac:dyDescent="0.25">
      <c r="A35" s="2" t="s">
        <v>176</v>
      </c>
      <c r="B35" s="2" t="s">
        <v>207</v>
      </c>
      <c r="C35" s="2" t="s">
        <v>208</v>
      </c>
      <c r="D35" s="3">
        <v>123</v>
      </c>
      <c r="E35" s="2" t="s">
        <v>116</v>
      </c>
      <c r="F35" s="3">
        <v>0</v>
      </c>
      <c r="G35" s="2" t="s">
        <v>116</v>
      </c>
      <c r="H35" s="2" t="s">
        <v>209</v>
      </c>
      <c r="I35" s="9" t="s">
        <v>118</v>
      </c>
    </row>
    <row r="36" spans="1:9" x14ac:dyDescent="0.25">
      <c r="A36" s="2" t="s">
        <v>176</v>
      </c>
      <c r="B36" s="2" t="s">
        <v>210</v>
      </c>
      <c r="C36" s="2" t="s">
        <v>211</v>
      </c>
      <c r="D36" s="3">
        <v>72</v>
      </c>
      <c r="E36" s="2" t="s">
        <v>116</v>
      </c>
      <c r="F36" s="3">
        <v>0</v>
      </c>
      <c r="G36" s="2" t="s">
        <v>116</v>
      </c>
      <c r="H36" s="2" t="s">
        <v>212</v>
      </c>
      <c r="I36" s="9" t="s">
        <v>118</v>
      </c>
    </row>
    <row r="37" spans="1:9" x14ac:dyDescent="0.25">
      <c r="A37" s="2" t="s">
        <v>176</v>
      </c>
      <c r="B37" s="2" t="s">
        <v>213</v>
      </c>
      <c r="C37" s="2" t="s">
        <v>214</v>
      </c>
      <c r="D37" s="3">
        <v>931</v>
      </c>
      <c r="E37" s="2" t="s">
        <v>116</v>
      </c>
      <c r="F37" s="3">
        <v>0</v>
      </c>
      <c r="G37" s="2" t="s">
        <v>116</v>
      </c>
      <c r="H37" s="2" t="s">
        <v>215</v>
      </c>
      <c r="I37" s="9" t="s">
        <v>118</v>
      </c>
    </row>
    <row r="38" spans="1:9" x14ac:dyDescent="0.25">
      <c r="A38" s="2" t="s">
        <v>176</v>
      </c>
      <c r="B38" s="2" t="s">
        <v>216</v>
      </c>
      <c r="C38" s="2" t="s">
        <v>217</v>
      </c>
      <c r="D38" s="3">
        <v>297</v>
      </c>
      <c r="E38" s="2" t="s">
        <v>116</v>
      </c>
      <c r="F38" s="3">
        <v>0</v>
      </c>
      <c r="G38" s="2" t="s">
        <v>116</v>
      </c>
      <c r="H38" s="2" t="s">
        <v>218</v>
      </c>
      <c r="I38" s="9" t="s">
        <v>118</v>
      </c>
    </row>
    <row r="39" spans="1:9" x14ac:dyDescent="0.25">
      <c r="A39" s="2" t="s">
        <v>176</v>
      </c>
      <c r="B39" s="2" t="s">
        <v>219</v>
      </c>
      <c r="C39" s="2" t="s">
        <v>220</v>
      </c>
      <c r="D39" s="3">
        <v>94</v>
      </c>
      <c r="E39" s="2" t="s">
        <v>116</v>
      </c>
      <c r="F39" s="3">
        <v>0</v>
      </c>
      <c r="G39" s="2" t="s">
        <v>116</v>
      </c>
      <c r="H39" s="2" t="s">
        <v>221</v>
      </c>
      <c r="I39" s="9" t="s">
        <v>118</v>
      </c>
    </row>
    <row r="40" spans="1:9" x14ac:dyDescent="0.25">
      <c r="A40" s="2" t="s">
        <v>176</v>
      </c>
      <c r="B40" s="2" t="s">
        <v>222</v>
      </c>
      <c r="C40" s="2" t="s">
        <v>223</v>
      </c>
      <c r="D40" s="3">
        <v>91</v>
      </c>
      <c r="E40" s="2" t="s">
        <v>116</v>
      </c>
      <c r="F40" s="3">
        <v>0</v>
      </c>
      <c r="G40" s="2" t="s">
        <v>116</v>
      </c>
      <c r="H40" s="2" t="s">
        <v>224</v>
      </c>
      <c r="I40" s="9" t="s">
        <v>118</v>
      </c>
    </row>
    <row r="41" spans="1:9" x14ac:dyDescent="0.25">
      <c r="A41" s="2" t="s">
        <v>176</v>
      </c>
      <c r="B41" s="2" t="s">
        <v>225</v>
      </c>
      <c r="C41" s="2" t="s">
        <v>226</v>
      </c>
      <c r="D41" s="3">
        <v>124</v>
      </c>
      <c r="E41" s="2" t="s">
        <v>116</v>
      </c>
      <c r="F41" s="3">
        <v>0</v>
      </c>
      <c r="G41" s="2" t="s">
        <v>116</v>
      </c>
      <c r="H41" s="2" t="s">
        <v>227</v>
      </c>
      <c r="I41" s="9" t="s">
        <v>118</v>
      </c>
    </row>
    <row r="42" spans="1:9" x14ac:dyDescent="0.25">
      <c r="A42" s="2" t="s">
        <v>176</v>
      </c>
      <c r="B42" s="2" t="s">
        <v>228</v>
      </c>
      <c r="C42" s="2" t="s">
        <v>229</v>
      </c>
      <c r="D42" s="3">
        <v>561</v>
      </c>
      <c r="E42" s="2" t="s">
        <v>116</v>
      </c>
      <c r="F42" s="3">
        <v>0</v>
      </c>
      <c r="G42" s="2" t="s">
        <v>116</v>
      </c>
      <c r="H42" s="2" t="s">
        <v>230</v>
      </c>
      <c r="I42" s="9" t="s">
        <v>118</v>
      </c>
    </row>
    <row r="43" spans="1:9" x14ac:dyDescent="0.25">
      <c r="A43" s="2" t="s">
        <v>176</v>
      </c>
      <c r="B43" s="2" t="s">
        <v>231</v>
      </c>
      <c r="C43" s="2" t="s">
        <v>232</v>
      </c>
      <c r="D43" s="3">
        <v>1019</v>
      </c>
      <c r="E43" s="2" t="s">
        <v>116</v>
      </c>
      <c r="F43" s="3">
        <v>0</v>
      </c>
      <c r="G43" s="2" t="s">
        <v>116</v>
      </c>
      <c r="H43" s="2" t="s">
        <v>233</v>
      </c>
      <c r="I43" s="9" t="s">
        <v>118</v>
      </c>
    </row>
    <row r="44" spans="1:9" x14ac:dyDescent="0.25">
      <c r="A44" s="2" t="s">
        <v>176</v>
      </c>
      <c r="B44" s="2" t="s">
        <v>234</v>
      </c>
      <c r="C44" s="2" t="s">
        <v>235</v>
      </c>
      <c r="D44" s="3">
        <v>786</v>
      </c>
      <c r="E44" s="2" t="s">
        <v>116</v>
      </c>
      <c r="F44" s="3">
        <v>0</v>
      </c>
      <c r="G44" s="2" t="s">
        <v>116</v>
      </c>
      <c r="H44" s="2" t="s">
        <v>218</v>
      </c>
      <c r="I44" s="9" t="s">
        <v>118</v>
      </c>
    </row>
    <row r="45" spans="1:9" x14ac:dyDescent="0.25">
      <c r="A45" s="2" t="s">
        <v>176</v>
      </c>
      <c r="B45" s="2" t="s">
        <v>236</v>
      </c>
      <c r="C45" s="2" t="s">
        <v>237</v>
      </c>
      <c r="D45" s="3">
        <v>154</v>
      </c>
      <c r="E45" s="2" t="s">
        <v>116</v>
      </c>
      <c r="F45" s="3">
        <v>0</v>
      </c>
      <c r="G45" s="2" t="s">
        <v>116</v>
      </c>
      <c r="H45" s="2" t="s">
        <v>238</v>
      </c>
      <c r="I45" s="9" t="s">
        <v>118</v>
      </c>
    </row>
    <row r="46" spans="1:9" x14ac:dyDescent="0.25">
      <c r="A46" s="2" t="s">
        <v>176</v>
      </c>
      <c r="B46" s="2" t="s">
        <v>239</v>
      </c>
      <c r="C46" s="2" t="s">
        <v>240</v>
      </c>
      <c r="D46" s="3">
        <v>85</v>
      </c>
      <c r="E46" s="2" t="s">
        <v>116</v>
      </c>
      <c r="F46" s="3">
        <v>0</v>
      </c>
      <c r="G46" s="2" t="s">
        <v>116</v>
      </c>
      <c r="H46" s="2" t="s">
        <v>241</v>
      </c>
      <c r="I46" s="9" t="s">
        <v>118</v>
      </c>
    </row>
    <row r="47" spans="1:9" x14ac:dyDescent="0.25">
      <c r="A47" s="2" t="s">
        <v>176</v>
      </c>
      <c r="B47" s="2" t="s">
        <v>242</v>
      </c>
      <c r="C47" s="2" t="s">
        <v>243</v>
      </c>
      <c r="D47" s="3">
        <v>106</v>
      </c>
      <c r="E47" s="2" t="s">
        <v>116</v>
      </c>
      <c r="F47" s="3">
        <v>0</v>
      </c>
      <c r="G47" s="2" t="s">
        <v>116</v>
      </c>
      <c r="H47" s="2" t="s">
        <v>244</v>
      </c>
      <c r="I47" s="9" t="s">
        <v>118</v>
      </c>
    </row>
    <row r="48" spans="1:9" x14ac:dyDescent="0.25">
      <c r="A48" s="2" t="s">
        <v>176</v>
      </c>
      <c r="B48" s="2" t="s">
        <v>245</v>
      </c>
      <c r="C48" s="2" t="s">
        <v>246</v>
      </c>
      <c r="D48" s="3">
        <v>175</v>
      </c>
      <c r="E48" s="2" t="s">
        <v>116</v>
      </c>
      <c r="F48" s="3">
        <v>0</v>
      </c>
      <c r="G48" s="2" t="s">
        <v>116</v>
      </c>
      <c r="H48" s="2" t="s">
        <v>247</v>
      </c>
      <c r="I48" s="9" t="s">
        <v>118</v>
      </c>
    </row>
    <row r="49" spans="1:9" x14ac:dyDescent="0.25">
      <c r="A49" s="2" t="s">
        <v>176</v>
      </c>
      <c r="B49" s="2" t="s">
        <v>248</v>
      </c>
      <c r="C49" s="2" t="s">
        <v>249</v>
      </c>
      <c r="D49" s="3">
        <v>3737</v>
      </c>
      <c r="E49" s="2" t="s">
        <v>116</v>
      </c>
      <c r="F49" s="3">
        <v>0</v>
      </c>
      <c r="G49" s="2" t="s">
        <v>118</v>
      </c>
      <c r="H49" s="2" t="s">
        <v>250</v>
      </c>
      <c r="I49" s="9" t="s">
        <v>118</v>
      </c>
    </row>
    <row r="50" spans="1:9" x14ac:dyDescent="0.25">
      <c r="A50" s="2" t="s">
        <v>176</v>
      </c>
      <c r="B50" s="2" t="s">
        <v>251</v>
      </c>
      <c r="C50" s="2" t="s">
        <v>252</v>
      </c>
      <c r="D50" s="3">
        <v>978</v>
      </c>
      <c r="E50" s="2" t="s">
        <v>116</v>
      </c>
      <c r="F50" s="3">
        <v>0</v>
      </c>
      <c r="G50" s="2" t="s">
        <v>116</v>
      </c>
      <c r="H50" s="2" t="s">
        <v>253</v>
      </c>
      <c r="I50" s="9" t="s">
        <v>118</v>
      </c>
    </row>
    <row r="51" spans="1:9" x14ac:dyDescent="0.25">
      <c r="A51" s="2" t="s">
        <v>176</v>
      </c>
      <c r="B51" s="2" t="s">
        <v>254</v>
      </c>
      <c r="C51" s="2" t="s">
        <v>255</v>
      </c>
      <c r="D51" s="3">
        <v>84</v>
      </c>
      <c r="E51" s="2" t="s">
        <v>116</v>
      </c>
      <c r="F51" s="3">
        <v>0</v>
      </c>
      <c r="G51" s="2" t="s">
        <v>116</v>
      </c>
      <c r="H51" s="2" t="s">
        <v>256</v>
      </c>
      <c r="I51" s="9" t="s">
        <v>118</v>
      </c>
    </row>
    <row r="52" spans="1:9" x14ac:dyDescent="0.25">
      <c r="A52" s="2" t="s">
        <v>176</v>
      </c>
      <c r="B52" s="2" t="s">
        <v>257</v>
      </c>
      <c r="C52" s="2" t="s">
        <v>258</v>
      </c>
      <c r="D52" s="3">
        <v>597</v>
      </c>
      <c r="E52" s="2" t="s">
        <v>116</v>
      </c>
      <c r="F52" s="3">
        <v>0</v>
      </c>
      <c r="G52" s="2" t="s">
        <v>116</v>
      </c>
      <c r="H52" s="2" t="s">
        <v>259</v>
      </c>
      <c r="I52" s="9" t="s">
        <v>118</v>
      </c>
    </row>
    <row r="53" spans="1:9" x14ac:dyDescent="0.25">
      <c r="A53" s="2" t="s">
        <v>176</v>
      </c>
      <c r="B53" s="2" t="s">
        <v>260</v>
      </c>
      <c r="C53" s="2" t="s">
        <v>261</v>
      </c>
      <c r="D53" s="3">
        <v>1482</v>
      </c>
      <c r="E53" s="2" t="s">
        <v>116</v>
      </c>
      <c r="F53" s="3">
        <v>0</v>
      </c>
      <c r="G53" s="2" t="s">
        <v>116</v>
      </c>
      <c r="H53" s="2" t="s">
        <v>262</v>
      </c>
      <c r="I53" s="9" t="s">
        <v>118</v>
      </c>
    </row>
    <row r="54" spans="1:9" x14ac:dyDescent="0.25">
      <c r="A54" s="2" t="s">
        <v>176</v>
      </c>
      <c r="B54" s="2" t="s">
        <v>263</v>
      </c>
      <c r="C54" s="2" t="s">
        <v>264</v>
      </c>
      <c r="D54" s="3">
        <v>355</v>
      </c>
      <c r="E54" s="2" t="s">
        <v>116</v>
      </c>
      <c r="F54" s="3">
        <v>0</v>
      </c>
      <c r="G54" s="2" t="s">
        <v>116</v>
      </c>
      <c r="H54" s="2" t="s">
        <v>265</v>
      </c>
      <c r="I54" s="9" t="s">
        <v>118</v>
      </c>
    </row>
    <row r="55" spans="1:9" x14ac:dyDescent="0.25">
      <c r="A55" s="2" t="s">
        <v>176</v>
      </c>
      <c r="B55" s="2" t="s">
        <v>266</v>
      </c>
      <c r="C55" s="2" t="s">
        <v>267</v>
      </c>
      <c r="D55" s="3">
        <v>1295</v>
      </c>
      <c r="E55" s="2" t="s">
        <v>116</v>
      </c>
      <c r="F55" s="3">
        <v>0</v>
      </c>
      <c r="G55" s="2" t="s">
        <v>116</v>
      </c>
      <c r="H55" s="2" t="s">
        <v>268</v>
      </c>
      <c r="I55" s="9" t="s">
        <v>118</v>
      </c>
    </row>
    <row r="56" spans="1:9" x14ac:dyDescent="0.25">
      <c r="A56" s="2" t="s">
        <v>176</v>
      </c>
      <c r="B56" s="2" t="s">
        <v>269</v>
      </c>
      <c r="C56" s="2" t="s">
        <v>270</v>
      </c>
      <c r="D56" s="3">
        <v>2001</v>
      </c>
      <c r="E56" s="2" t="s">
        <v>116</v>
      </c>
      <c r="F56" s="3">
        <v>0</v>
      </c>
      <c r="G56" s="2" t="s">
        <v>116</v>
      </c>
      <c r="H56" s="2" t="s">
        <v>271</v>
      </c>
      <c r="I56" s="9" t="s">
        <v>118</v>
      </c>
    </row>
    <row r="57" spans="1:9" x14ac:dyDescent="0.25">
      <c r="A57" s="2" t="s">
        <v>176</v>
      </c>
      <c r="B57" s="2" t="s">
        <v>272</v>
      </c>
      <c r="C57" s="2" t="s">
        <v>273</v>
      </c>
      <c r="D57" s="3">
        <v>648</v>
      </c>
      <c r="E57" s="2" t="s">
        <v>116</v>
      </c>
      <c r="F57" s="3">
        <v>0</v>
      </c>
      <c r="G57" s="2" t="s">
        <v>116</v>
      </c>
      <c r="H57" s="2" t="s">
        <v>274</v>
      </c>
      <c r="I57" s="9" t="s">
        <v>118</v>
      </c>
    </row>
    <row r="58" spans="1:9" x14ac:dyDescent="0.25">
      <c r="A58" s="2" t="s">
        <v>176</v>
      </c>
      <c r="B58" s="2" t="s">
        <v>275</v>
      </c>
      <c r="C58" s="2" t="s">
        <v>276</v>
      </c>
      <c r="D58" s="3">
        <v>642</v>
      </c>
      <c r="E58" s="2" t="s">
        <v>116</v>
      </c>
      <c r="F58" s="3">
        <v>0</v>
      </c>
      <c r="G58" s="2" t="s">
        <v>116</v>
      </c>
      <c r="H58" s="2" t="s">
        <v>179</v>
      </c>
      <c r="I58" s="9" t="s">
        <v>118</v>
      </c>
    </row>
    <row r="59" spans="1:9" x14ac:dyDescent="0.25">
      <c r="A59" s="2" t="s">
        <v>176</v>
      </c>
      <c r="B59" s="2" t="s">
        <v>277</v>
      </c>
      <c r="C59" s="2" t="s">
        <v>278</v>
      </c>
      <c r="D59" s="3">
        <v>16</v>
      </c>
      <c r="E59" s="2" t="s">
        <v>116</v>
      </c>
      <c r="F59" s="3">
        <v>0</v>
      </c>
      <c r="G59" s="2" t="s">
        <v>116</v>
      </c>
      <c r="H59" s="2" t="s">
        <v>279</v>
      </c>
      <c r="I59" s="9" t="s">
        <v>118</v>
      </c>
    </row>
    <row r="60" spans="1:9" x14ac:dyDescent="0.25">
      <c r="A60" s="2" t="s">
        <v>176</v>
      </c>
      <c r="B60" s="2" t="s">
        <v>280</v>
      </c>
      <c r="C60" s="2" t="s">
        <v>281</v>
      </c>
      <c r="D60" s="3">
        <v>25</v>
      </c>
      <c r="E60" s="2" t="s">
        <v>116</v>
      </c>
      <c r="F60" s="3">
        <v>0</v>
      </c>
      <c r="G60" s="2" t="s">
        <v>116</v>
      </c>
      <c r="H60" s="2" t="s">
        <v>182</v>
      </c>
      <c r="I60" s="9" t="s">
        <v>118</v>
      </c>
    </row>
    <row r="61" spans="1:9" x14ac:dyDescent="0.25">
      <c r="A61" s="2" t="s">
        <v>176</v>
      </c>
      <c r="B61" s="2" t="s">
        <v>282</v>
      </c>
      <c r="C61" s="2" t="s">
        <v>283</v>
      </c>
      <c r="D61" s="3">
        <v>24</v>
      </c>
      <c r="E61" s="2" t="s">
        <v>116</v>
      </c>
      <c r="F61" s="3">
        <v>0</v>
      </c>
      <c r="G61" s="2" t="s">
        <v>116</v>
      </c>
      <c r="H61" s="2" t="s">
        <v>284</v>
      </c>
      <c r="I61" s="9" t="s">
        <v>118</v>
      </c>
    </row>
    <row r="62" spans="1:9" x14ac:dyDescent="0.25">
      <c r="A62" s="2" t="s">
        <v>176</v>
      </c>
      <c r="B62" s="2" t="s">
        <v>285</v>
      </c>
      <c r="C62" s="2" t="s">
        <v>286</v>
      </c>
      <c r="D62" s="3">
        <v>109</v>
      </c>
      <c r="E62" s="2" t="s">
        <v>116</v>
      </c>
      <c r="F62" s="3">
        <v>0</v>
      </c>
      <c r="G62" s="2" t="s">
        <v>116</v>
      </c>
      <c r="H62" s="2" t="s">
        <v>287</v>
      </c>
      <c r="I62" s="9" t="s">
        <v>118</v>
      </c>
    </row>
    <row r="63" spans="1:9" x14ac:dyDescent="0.25">
      <c r="A63" s="2" t="s">
        <v>176</v>
      </c>
      <c r="B63" s="2" t="s">
        <v>288</v>
      </c>
      <c r="C63" s="2" t="s">
        <v>289</v>
      </c>
      <c r="D63" s="3">
        <v>123</v>
      </c>
      <c r="E63" s="2" t="s">
        <v>116</v>
      </c>
      <c r="F63" s="3">
        <v>0</v>
      </c>
      <c r="G63" s="2" t="s">
        <v>116</v>
      </c>
      <c r="H63" s="2" t="s">
        <v>290</v>
      </c>
      <c r="I63" s="9" t="s">
        <v>118</v>
      </c>
    </row>
    <row r="64" spans="1:9" x14ac:dyDescent="0.25">
      <c r="A64" s="2" t="s">
        <v>176</v>
      </c>
      <c r="B64" s="2" t="s">
        <v>291</v>
      </c>
      <c r="C64" s="2" t="s">
        <v>292</v>
      </c>
      <c r="D64" s="3">
        <v>23</v>
      </c>
      <c r="E64" s="2" t="s">
        <v>116</v>
      </c>
      <c r="F64" s="3">
        <v>0</v>
      </c>
      <c r="G64" s="2" t="s">
        <v>116</v>
      </c>
      <c r="H64" s="2" t="s">
        <v>293</v>
      </c>
      <c r="I64" s="9" t="s">
        <v>118</v>
      </c>
    </row>
    <row r="65" spans="1:9" x14ac:dyDescent="0.25">
      <c r="A65" s="2" t="s">
        <v>176</v>
      </c>
      <c r="B65" s="2" t="s">
        <v>294</v>
      </c>
      <c r="C65" s="2" t="s">
        <v>295</v>
      </c>
      <c r="D65" s="3">
        <v>78</v>
      </c>
      <c r="E65" s="2" t="s">
        <v>116</v>
      </c>
      <c r="F65" s="3">
        <v>0</v>
      </c>
      <c r="G65" s="2" t="s">
        <v>116</v>
      </c>
      <c r="H65" s="2" t="s">
        <v>244</v>
      </c>
      <c r="I65" s="9" t="s">
        <v>118</v>
      </c>
    </row>
    <row r="66" spans="1:9" x14ac:dyDescent="0.25">
      <c r="A66" s="2" t="s">
        <v>176</v>
      </c>
      <c r="B66" s="2" t="s">
        <v>296</v>
      </c>
      <c r="C66" s="2" t="s">
        <v>297</v>
      </c>
      <c r="D66" s="3">
        <v>52</v>
      </c>
      <c r="E66" s="2" t="s">
        <v>116</v>
      </c>
      <c r="F66" s="3">
        <v>0</v>
      </c>
      <c r="G66" s="2" t="s">
        <v>116</v>
      </c>
      <c r="H66" s="2" t="s">
        <v>298</v>
      </c>
      <c r="I66" s="9" t="s">
        <v>118</v>
      </c>
    </row>
    <row r="67" spans="1:9" x14ac:dyDescent="0.25">
      <c r="A67" s="2" t="s">
        <v>176</v>
      </c>
      <c r="B67" s="2" t="s">
        <v>299</v>
      </c>
      <c r="C67" s="2" t="s">
        <v>300</v>
      </c>
      <c r="D67" s="3">
        <v>1042</v>
      </c>
      <c r="E67" s="2" t="s">
        <v>116</v>
      </c>
      <c r="F67" s="3">
        <v>0</v>
      </c>
      <c r="G67" s="2" t="s">
        <v>116</v>
      </c>
      <c r="H67" s="2" t="s">
        <v>301</v>
      </c>
      <c r="I67" s="9" t="s">
        <v>118</v>
      </c>
    </row>
    <row r="68" spans="1:9" x14ac:dyDescent="0.25">
      <c r="A68" s="2" t="s">
        <v>176</v>
      </c>
      <c r="B68" s="2" t="s">
        <v>302</v>
      </c>
      <c r="C68" s="2" t="s">
        <v>303</v>
      </c>
      <c r="D68" s="3">
        <v>128</v>
      </c>
      <c r="E68" s="2" t="s">
        <v>116</v>
      </c>
      <c r="F68" s="3">
        <v>0</v>
      </c>
      <c r="G68" s="2" t="s">
        <v>116</v>
      </c>
      <c r="H68" s="2" t="s">
        <v>304</v>
      </c>
      <c r="I68" s="9" t="s">
        <v>118</v>
      </c>
    </row>
    <row r="69" spans="1:9" x14ac:dyDescent="0.25">
      <c r="A69" s="2" t="s">
        <v>176</v>
      </c>
      <c r="B69" s="2" t="s">
        <v>305</v>
      </c>
      <c r="C69" s="2" t="s">
        <v>306</v>
      </c>
      <c r="D69" s="3">
        <v>276</v>
      </c>
      <c r="E69" s="2" t="s">
        <v>116</v>
      </c>
      <c r="F69" s="3">
        <v>0</v>
      </c>
      <c r="G69" s="2" t="s">
        <v>116</v>
      </c>
      <c r="H69" s="2" t="s">
        <v>307</v>
      </c>
      <c r="I69" s="9" t="s">
        <v>118</v>
      </c>
    </row>
    <row r="70" spans="1:9" x14ac:dyDescent="0.25">
      <c r="A70" s="2" t="s">
        <v>176</v>
      </c>
      <c r="B70" s="2" t="s">
        <v>308</v>
      </c>
      <c r="C70" s="2" t="s">
        <v>309</v>
      </c>
      <c r="D70" s="3">
        <v>527</v>
      </c>
      <c r="E70" s="2" t="s">
        <v>116</v>
      </c>
      <c r="F70" s="3">
        <v>0</v>
      </c>
      <c r="G70" s="2" t="s">
        <v>116</v>
      </c>
      <c r="H70" s="2" t="s">
        <v>301</v>
      </c>
      <c r="I70" s="9" t="s">
        <v>118</v>
      </c>
    </row>
    <row r="71" spans="1:9" x14ac:dyDescent="0.25">
      <c r="A71" s="2" t="s">
        <v>176</v>
      </c>
      <c r="B71" s="2" t="s">
        <v>310</v>
      </c>
      <c r="C71" s="2" t="s">
        <v>311</v>
      </c>
      <c r="D71" s="3">
        <v>152</v>
      </c>
      <c r="E71" s="2" t="s">
        <v>116</v>
      </c>
      <c r="F71" s="3">
        <v>0</v>
      </c>
      <c r="G71" s="2" t="s">
        <v>116</v>
      </c>
      <c r="H71" s="2" t="s">
        <v>312</v>
      </c>
      <c r="I71" s="9" t="s">
        <v>118</v>
      </c>
    </row>
    <row r="72" spans="1:9" x14ac:dyDescent="0.25">
      <c r="A72" s="2" t="s">
        <v>176</v>
      </c>
      <c r="B72" s="2" t="s">
        <v>313</v>
      </c>
      <c r="C72" s="2" t="s">
        <v>314</v>
      </c>
      <c r="D72" s="3">
        <v>136</v>
      </c>
      <c r="E72" s="2" t="s">
        <v>116</v>
      </c>
      <c r="F72" s="3">
        <v>0</v>
      </c>
      <c r="G72" s="2" t="s">
        <v>116</v>
      </c>
      <c r="H72" s="2" t="s">
        <v>315</v>
      </c>
      <c r="I72" s="9" t="s">
        <v>118</v>
      </c>
    </row>
    <row r="73" spans="1:9" x14ac:dyDescent="0.25">
      <c r="A73" s="2" t="s">
        <v>176</v>
      </c>
      <c r="B73" s="2" t="s">
        <v>316</v>
      </c>
      <c r="C73" s="2" t="s">
        <v>317</v>
      </c>
      <c r="D73" s="3">
        <v>18</v>
      </c>
      <c r="E73" s="2" t="s">
        <v>116</v>
      </c>
      <c r="F73" s="3">
        <v>0</v>
      </c>
      <c r="G73" s="2" t="s">
        <v>116</v>
      </c>
      <c r="H73" s="2" t="s">
        <v>318</v>
      </c>
      <c r="I73" s="9" t="s">
        <v>118</v>
      </c>
    </row>
    <row r="74" spans="1:9" x14ac:dyDescent="0.25">
      <c r="A74" s="2" t="s">
        <v>176</v>
      </c>
      <c r="B74" s="2" t="s">
        <v>319</v>
      </c>
      <c r="C74" s="2" t="s">
        <v>320</v>
      </c>
      <c r="D74" s="3">
        <v>66</v>
      </c>
      <c r="E74" s="2" t="s">
        <v>116</v>
      </c>
      <c r="F74" s="3">
        <v>0</v>
      </c>
      <c r="G74" s="2" t="s">
        <v>116</v>
      </c>
      <c r="H74" s="2" t="s">
        <v>321</v>
      </c>
      <c r="I74" s="9" t="s">
        <v>118</v>
      </c>
    </row>
    <row r="75" spans="1:9" x14ac:dyDescent="0.25">
      <c r="A75" s="2" t="s">
        <v>176</v>
      </c>
      <c r="B75" s="2" t="s">
        <v>322</v>
      </c>
      <c r="C75" s="2" t="s">
        <v>323</v>
      </c>
      <c r="D75" s="3">
        <v>57</v>
      </c>
      <c r="E75" s="2" t="s">
        <v>116</v>
      </c>
      <c r="F75" s="3">
        <v>0</v>
      </c>
      <c r="G75" s="2" t="s">
        <v>116</v>
      </c>
      <c r="H75" s="2" t="s">
        <v>324</v>
      </c>
      <c r="I75" s="9" t="s">
        <v>118</v>
      </c>
    </row>
    <row r="76" spans="1:9" x14ac:dyDescent="0.25">
      <c r="A76" s="2" t="s">
        <v>176</v>
      </c>
      <c r="B76" s="2" t="s">
        <v>325</v>
      </c>
      <c r="C76" s="2" t="s">
        <v>326</v>
      </c>
      <c r="D76" s="3">
        <v>18</v>
      </c>
      <c r="E76" s="2" t="s">
        <v>116</v>
      </c>
      <c r="F76" s="3">
        <v>0</v>
      </c>
      <c r="G76" s="2" t="s">
        <v>116</v>
      </c>
      <c r="H76" s="2" t="s">
        <v>327</v>
      </c>
      <c r="I76" s="9" t="s">
        <v>118</v>
      </c>
    </row>
    <row r="77" spans="1:9" x14ac:dyDescent="0.25">
      <c r="A77" s="2" t="s">
        <v>176</v>
      </c>
      <c r="B77" s="2" t="s">
        <v>328</v>
      </c>
      <c r="C77" s="2" t="s">
        <v>329</v>
      </c>
      <c r="D77" s="3">
        <v>35</v>
      </c>
      <c r="E77" s="2" t="s">
        <v>116</v>
      </c>
      <c r="F77" s="3">
        <v>0</v>
      </c>
      <c r="G77" s="2" t="s">
        <v>116</v>
      </c>
      <c r="H77" s="2" t="s">
        <v>330</v>
      </c>
      <c r="I77" s="9" t="s">
        <v>118</v>
      </c>
    </row>
    <row r="78" spans="1:9" x14ac:dyDescent="0.25">
      <c r="A78" s="2" t="s">
        <v>176</v>
      </c>
      <c r="B78" s="2" t="s">
        <v>331</v>
      </c>
      <c r="C78" s="2" t="s">
        <v>332</v>
      </c>
      <c r="D78" s="3">
        <v>99</v>
      </c>
      <c r="E78" s="2" t="s">
        <v>116</v>
      </c>
      <c r="F78" s="3">
        <v>0</v>
      </c>
      <c r="G78" s="2" t="s">
        <v>116</v>
      </c>
      <c r="H78" s="2" t="s">
        <v>333</v>
      </c>
      <c r="I78" s="9" t="s">
        <v>118</v>
      </c>
    </row>
    <row r="79" spans="1:9" x14ac:dyDescent="0.25">
      <c r="A79" s="2" t="s">
        <v>176</v>
      </c>
      <c r="B79" s="2" t="s">
        <v>334</v>
      </c>
      <c r="C79" s="2" t="s">
        <v>335</v>
      </c>
      <c r="D79" s="3">
        <v>126</v>
      </c>
      <c r="E79" s="2" t="s">
        <v>116</v>
      </c>
      <c r="F79" s="3">
        <v>0</v>
      </c>
      <c r="G79" s="2" t="s">
        <v>116</v>
      </c>
      <c r="H79" s="2" t="s">
        <v>336</v>
      </c>
      <c r="I79" s="9" t="s">
        <v>118</v>
      </c>
    </row>
    <row r="80" spans="1:9" x14ac:dyDescent="0.25">
      <c r="A80" s="2" t="s">
        <v>176</v>
      </c>
      <c r="B80" s="2" t="s">
        <v>337</v>
      </c>
      <c r="C80" s="2" t="s">
        <v>338</v>
      </c>
      <c r="D80" s="3">
        <v>87</v>
      </c>
      <c r="E80" s="2" t="s">
        <v>116</v>
      </c>
      <c r="F80" s="3">
        <v>0</v>
      </c>
      <c r="G80" s="2" t="s">
        <v>116</v>
      </c>
      <c r="H80" s="2" t="s">
        <v>339</v>
      </c>
      <c r="I80" s="9" t="s">
        <v>118</v>
      </c>
    </row>
    <row r="81" spans="1:9" x14ac:dyDescent="0.25">
      <c r="A81" s="2" t="s">
        <v>176</v>
      </c>
      <c r="B81" s="2" t="s">
        <v>340</v>
      </c>
      <c r="C81" s="2" t="s">
        <v>341</v>
      </c>
      <c r="D81" s="3">
        <v>199</v>
      </c>
      <c r="E81" s="2" t="s">
        <v>116</v>
      </c>
      <c r="F81" s="3">
        <v>0</v>
      </c>
      <c r="G81" s="2" t="s">
        <v>116</v>
      </c>
      <c r="H81" s="2" t="s">
        <v>342</v>
      </c>
      <c r="I81" s="9" t="s">
        <v>118</v>
      </c>
    </row>
    <row r="82" spans="1:9" x14ac:dyDescent="0.25">
      <c r="A82" s="2" t="s">
        <v>176</v>
      </c>
      <c r="B82" s="2" t="s">
        <v>343</v>
      </c>
      <c r="C82" s="2" t="s">
        <v>344</v>
      </c>
      <c r="D82" s="3">
        <v>24</v>
      </c>
      <c r="E82" s="2" t="s">
        <v>116</v>
      </c>
      <c r="F82" s="3">
        <v>0</v>
      </c>
      <c r="G82" s="2" t="s">
        <v>116</v>
      </c>
      <c r="H82" s="2" t="s">
        <v>345</v>
      </c>
      <c r="I82" s="9" t="s">
        <v>118</v>
      </c>
    </row>
    <row r="83" spans="1:9" x14ac:dyDescent="0.25">
      <c r="A83" s="2" t="s">
        <v>176</v>
      </c>
      <c r="B83" s="2" t="s">
        <v>346</v>
      </c>
      <c r="C83" s="2" t="s">
        <v>347</v>
      </c>
      <c r="D83" s="3">
        <v>149</v>
      </c>
      <c r="E83" s="2" t="s">
        <v>116</v>
      </c>
      <c r="F83" s="3">
        <v>0</v>
      </c>
      <c r="G83" s="2" t="s">
        <v>116</v>
      </c>
      <c r="H83" s="2" t="s">
        <v>348</v>
      </c>
      <c r="I83" s="9" t="s">
        <v>118</v>
      </c>
    </row>
    <row r="84" spans="1:9" x14ac:dyDescent="0.25">
      <c r="A84" s="2" t="s">
        <v>176</v>
      </c>
      <c r="B84" s="2" t="s">
        <v>349</v>
      </c>
      <c r="C84" s="2" t="s">
        <v>350</v>
      </c>
      <c r="D84" s="3">
        <v>30</v>
      </c>
      <c r="E84" s="2" t="s">
        <v>116</v>
      </c>
      <c r="F84" s="3">
        <v>0</v>
      </c>
      <c r="G84" s="2" t="s">
        <v>116</v>
      </c>
      <c r="H84" s="2" t="s">
        <v>351</v>
      </c>
      <c r="I84" s="9" t="s">
        <v>118</v>
      </c>
    </row>
    <row r="85" spans="1:9" x14ac:dyDescent="0.25">
      <c r="A85" s="2" t="s">
        <v>176</v>
      </c>
      <c r="B85" s="2" t="s">
        <v>352</v>
      </c>
      <c r="C85" s="2" t="s">
        <v>353</v>
      </c>
      <c r="D85" s="3">
        <v>10</v>
      </c>
      <c r="E85" s="2" t="s">
        <v>116</v>
      </c>
      <c r="F85" s="3">
        <v>0</v>
      </c>
      <c r="G85" s="2" t="s">
        <v>116</v>
      </c>
      <c r="H85" s="2" t="s">
        <v>354</v>
      </c>
      <c r="I85" s="9" t="s">
        <v>118</v>
      </c>
    </row>
    <row r="86" spans="1:9" x14ac:dyDescent="0.25">
      <c r="A86" s="2" t="s">
        <v>176</v>
      </c>
      <c r="B86" s="2" t="s">
        <v>355</v>
      </c>
      <c r="C86" s="2" t="s">
        <v>356</v>
      </c>
      <c r="D86" s="3">
        <v>113</v>
      </c>
      <c r="E86" s="2" t="s">
        <v>116</v>
      </c>
      <c r="F86" s="3">
        <v>0</v>
      </c>
      <c r="G86" s="2" t="s">
        <v>116</v>
      </c>
      <c r="H86" s="2" t="s">
        <v>212</v>
      </c>
      <c r="I86" s="9" t="s">
        <v>118</v>
      </c>
    </row>
    <row r="87" spans="1:9" x14ac:dyDescent="0.25">
      <c r="A87" s="2" t="s">
        <v>176</v>
      </c>
      <c r="B87" s="2" t="s">
        <v>357</v>
      </c>
      <c r="C87" s="2" t="s">
        <v>358</v>
      </c>
      <c r="D87" s="3">
        <v>991</v>
      </c>
      <c r="E87" s="2" t="s">
        <v>116</v>
      </c>
      <c r="F87" s="3">
        <v>0</v>
      </c>
      <c r="G87" s="2" t="s">
        <v>118</v>
      </c>
      <c r="H87" s="2" t="s">
        <v>233</v>
      </c>
      <c r="I87" s="9" t="s">
        <v>118</v>
      </c>
    </row>
    <row r="88" spans="1:9" x14ac:dyDescent="0.25">
      <c r="A88" s="2" t="s">
        <v>176</v>
      </c>
      <c r="B88" s="2" t="s">
        <v>359</v>
      </c>
      <c r="C88" s="2" t="s">
        <v>360</v>
      </c>
      <c r="D88" s="3">
        <v>5</v>
      </c>
      <c r="E88" s="2" t="s">
        <v>116</v>
      </c>
      <c r="F88" s="3">
        <v>0</v>
      </c>
      <c r="G88" s="2" t="s">
        <v>116</v>
      </c>
      <c r="H88" s="2" t="s">
        <v>361</v>
      </c>
      <c r="I88" s="9" t="s">
        <v>118</v>
      </c>
    </row>
    <row r="89" spans="1:9" x14ac:dyDescent="0.25">
      <c r="A89" s="2" t="s">
        <v>176</v>
      </c>
      <c r="B89" s="2" t="s">
        <v>362</v>
      </c>
      <c r="C89" s="2" t="s">
        <v>363</v>
      </c>
      <c r="D89" s="3">
        <v>46</v>
      </c>
      <c r="E89" s="2" t="s">
        <v>116</v>
      </c>
      <c r="F89" s="3">
        <v>0</v>
      </c>
      <c r="G89" s="2" t="s">
        <v>116</v>
      </c>
      <c r="H89" s="2" t="s">
        <v>324</v>
      </c>
      <c r="I89" s="9" t="s">
        <v>118</v>
      </c>
    </row>
    <row r="90" spans="1:9" x14ac:dyDescent="0.25">
      <c r="A90" s="2" t="s">
        <v>176</v>
      </c>
      <c r="B90" s="2" t="s">
        <v>364</v>
      </c>
      <c r="C90" s="2" t="s">
        <v>365</v>
      </c>
      <c r="D90" s="3">
        <v>30</v>
      </c>
      <c r="E90" s="2" t="s">
        <v>116</v>
      </c>
      <c r="F90" s="3">
        <v>0</v>
      </c>
      <c r="G90" s="2" t="s">
        <v>116</v>
      </c>
      <c r="H90" s="2" t="s">
        <v>366</v>
      </c>
      <c r="I90" s="9" t="s">
        <v>118</v>
      </c>
    </row>
    <row r="91" spans="1:9" x14ac:dyDescent="0.25">
      <c r="A91" s="2" t="s">
        <v>176</v>
      </c>
      <c r="B91" s="2" t="s">
        <v>367</v>
      </c>
      <c r="C91" s="2" t="s">
        <v>368</v>
      </c>
      <c r="D91" s="3">
        <v>71</v>
      </c>
      <c r="E91" s="2" t="s">
        <v>116</v>
      </c>
      <c r="F91" s="3">
        <v>0</v>
      </c>
      <c r="G91" s="2" t="s">
        <v>116</v>
      </c>
      <c r="H91" s="2" t="s">
        <v>369</v>
      </c>
      <c r="I91" s="9" t="s">
        <v>118</v>
      </c>
    </row>
    <row r="92" spans="1:9" x14ac:dyDescent="0.25">
      <c r="A92" s="2" t="s">
        <v>176</v>
      </c>
      <c r="B92" s="2" t="s">
        <v>370</v>
      </c>
      <c r="C92" s="2" t="s">
        <v>371</v>
      </c>
      <c r="D92" s="3">
        <v>290</v>
      </c>
      <c r="E92" s="2" t="s">
        <v>116</v>
      </c>
      <c r="F92" s="3">
        <v>0</v>
      </c>
      <c r="G92" s="2" t="s">
        <v>118</v>
      </c>
      <c r="H92" s="2" t="s">
        <v>372</v>
      </c>
      <c r="I92" s="9" t="s">
        <v>118</v>
      </c>
    </row>
    <row r="93" spans="1:9" x14ac:dyDescent="0.25">
      <c r="A93" s="2" t="s">
        <v>176</v>
      </c>
      <c r="B93" s="2" t="s">
        <v>373</v>
      </c>
      <c r="C93" s="2" t="s">
        <v>374</v>
      </c>
      <c r="D93" s="3">
        <v>50</v>
      </c>
      <c r="E93" s="2" t="s">
        <v>116</v>
      </c>
      <c r="F93" s="3">
        <v>0</v>
      </c>
      <c r="G93" s="2" t="s">
        <v>118</v>
      </c>
      <c r="H93" s="2" t="s">
        <v>375</v>
      </c>
      <c r="I93" s="9" t="s">
        <v>118</v>
      </c>
    </row>
    <row r="94" spans="1:9" x14ac:dyDescent="0.25">
      <c r="A94" s="2" t="s">
        <v>176</v>
      </c>
      <c r="B94" s="2" t="s">
        <v>376</v>
      </c>
      <c r="C94" s="2" t="s">
        <v>377</v>
      </c>
      <c r="D94" s="3">
        <v>233</v>
      </c>
      <c r="E94" s="2" t="s">
        <v>116</v>
      </c>
      <c r="F94" s="3">
        <v>0</v>
      </c>
      <c r="G94" s="2" t="s">
        <v>116</v>
      </c>
      <c r="H94" s="2" t="s">
        <v>378</v>
      </c>
      <c r="I94" s="9" t="s">
        <v>118</v>
      </c>
    </row>
    <row r="95" spans="1:9" x14ac:dyDescent="0.25">
      <c r="A95" s="2" t="s">
        <v>176</v>
      </c>
      <c r="B95" s="2" t="s">
        <v>379</v>
      </c>
      <c r="C95" s="2" t="s">
        <v>380</v>
      </c>
      <c r="D95" s="3">
        <v>77</v>
      </c>
      <c r="E95" s="2" t="s">
        <v>116</v>
      </c>
      <c r="F95" s="3">
        <v>0</v>
      </c>
      <c r="G95" s="2" t="s">
        <v>116</v>
      </c>
      <c r="H95" s="2" t="s">
        <v>381</v>
      </c>
      <c r="I95" s="9" t="s">
        <v>118</v>
      </c>
    </row>
    <row r="96" spans="1:9" x14ac:dyDescent="0.25">
      <c r="A96" s="2" t="s">
        <v>176</v>
      </c>
      <c r="B96" s="2" t="s">
        <v>382</v>
      </c>
      <c r="C96" s="2" t="s">
        <v>383</v>
      </c>
      <c r="D96" s="3">
        <v>62</v>
      </c>
      <c r="E96" s="2" t="s">
        <v>116</v>
      </c>
      <c r="F96" s="3">
        <v>0</v>
      </c>
      <c r="G96" s="2" t="s">
        <v>116</v>
      </c>
      <c r="H96" s="2" t="s">
        <v>384</v>
      </c>
      <c r="I96" s="9" t="s">
        <v>118</v>
      </c>
    </row>
    <row r="97" spans="1:9" x14ac:dyDescent="0.25">
      <c r="A97" s="2" t="s">
        <v>176</v>
      </c>
      <c r="B97" s="2" t="s">
        <v>385</v>
      </c>
      <c r="C97" s="2" t="s">
        <v>386</v>
      </c>
      <c r="D97" s="3">
        <v>170</v>
      </c>
      <c r="E97" s="2" t="s">
        <v>116</v>
      </c>
      <c r="F97" s="3">
        <v>0</v>
      </c>
      <c r="G97" s="2" t="s">
        <v>116</v>
      </c>
      <c r="H97" s="2" t="s">
        <v>387</v>
      </c>
      <c r="I97" s="9" t="s">
        <v>118</v>
      </c>
    </row>
    <row r="98" spans="1:9" x14ac:dyDescent="0.25">
      <c r="A98" s="2" t="s">
        <v>176</v>
      </c>
      <c r="B98" s="2" t="s">
        <v>388</v>
      </c>
      <c r="C98" s="2" t="s">
        <v>389</v>
      </c>
      <c r="D98" s="3">
        <v>238</v>
      </c>
      <c r="E98" s="2" t="s">
        <v>116</v>
      </c>
      <c r="F98" s="3">
        <v>0</v>
      </c>
      <c r="G98" s="2" t="s">
        <v>116</v>
      </c>
      <c r="H98" s="2" t="s">
        <v>247</v>
      </c>
      <c r="I98" s="9" t="s">
        <v>118</v>
      </c>
    </row>
    <row r="99" spans="1:9" x14ac:dyDescent="0.25">
      <c r="A99" s="2" t="s">
        <v>176</v>
      </c>
      <c r="B99" s="2" t="s">
        <v>390</v>
      </c>
      <c r="C99" s="2" t="s">
        <v>391</v>
      </c>
      <c r="D99" s="3">
        <v>3301</v>
      </c>
      <c r="E99" s="2" t="s">
        <v>116</v>
      </c>
      <c r="F99" s="3">
        <v>0</v>
      </c>
      <c r="G99" s="2" t="s">
        <v>116</v>
      </c>
      <c r="H99" s="2" t="s">
        <v>250</v>
      </c>
      <c r="I99" s="9" t="s">
        <v>118</v>
      </c>
    </row>
    <row r="100" spans="1:9" x14ac:dyDescent="0.25">
      <c r="A100" s="2" t="s">
        <v>176</v>
      </c>
      <c r="B100" s="2" t="s">
        <v>392</v>
      </c>
      <c r="C100" s="2" t="s">
        <v>393</v>
      </c>
      <c r="D100" s="3">
        <v>23</v>
      </c>
      <c r="E100" s="2" t="s">
        <v>116</v>
      </c>
      <c r="F100" s="3">
        <v>0</v>
      </c>
      <c r="G100" s="2" t="s">
        <v>116</v>
      </c>
      <c r="H100" s="2" t="s">
        <v>394</v>
      </c>
      <c r="I100" s="9" t="s">
        <v>118</v>
      </c>
    </row>
    <row r="101" spans="1:9" x14ac:dyDescent="0.25">
      <c r="A101" s="2" t="s">
        <v>176</v>
      </c>
      <c r="B101" s="2" t="s">
        <v>395</v>
      </c>
      <c r="C101" s="2" t="s">
        <v>396</v>
      </c>
      <c r="D101" s="3">
        <v>35</v>
      </c>
      <c r="E101" s="2" t="s">
        <v>116</v>
      </c>
      <c r="F101" s="3">
        <v>0</v>
      </c>
      <c r="G101" s="2" t="s">
        <v>116</v>
      </c>
      <c r="H101" s="2" t="s">
        <v>397</v>
      </c>
      <c r="I101" s="9" t="s">
        <v>118</v>
      </c>
    </row>
    <row r="102" spans="1:9" x14ac:dyDescent="0.25">
      <c r="A102" s="2" t="s">
        <v>176</v>
      </c>
      <c r="B102" s="2" t="s">
        <v>398</v>
      </c>
      <c r="C102" s="2" t="s">
        <v>399</v>
      </c>
      <c r="D102" s="3">
        <v>1116</v>
      </c>
      <c r="E102" s="2" t="s">
        <v>116</v>
      </c>
      <c r="F102" s="3">
        <v>0</v>
      </c>
      <c r="G102" s="2" t="s">
        <v>116</v>
      </c>
      <c r="H102" s="2" t="s">
        <v>253</v>
      </c>
      <c r="I102" s="9" t="s">
        <v>118</v>
      </c>
    </row>
    <row r="103" spans="1:9" x14ac:dyDescent="0.25">
      <c r="A103" s="2" t="s">
        <v>176</v>
      </c>
      <c r="B103" s="2" t="s">
        <v>400</v>
      </c>
      <c r="C103" s="2" t="s">
        <v>401</v>
      </c>
      <c r="D103" s="3">
        <v>1376</v>
      </c>
      <c r="E103" s="2" t="s">
        <v>116</v>
      </c>
      <c r="F103" s="3">
        <v>0</v>
      </c>
      <c r="G103" s="2" t="s">
        <v>116</v>
      </c>
      <c r="H103" s="2" t="s">
        <v>262</v>
      </c>
      <c r="I103" s="9" t="s">
        <v>118</v>
      </c>
    </row>
    <row r="104" spans="1:9" x14ac:dyDescent="0.25">
      <c r="A104" s="2" t="s">
        <v>176</v>
      </c>
      <c r="B104" s="2" t="s">
        <v>402</v>
      </c>
      <c r="C104" s="2" t="s">
        <v>403</v>
      </c>
      <c r="D104" s="3">
        <v>33</v>
      </c>
      <c r="E104" s="2" t="s">
        <v>116</v>
      </c>
      <c r="F104" s="3">
        <v>0</v>
      </c>
      <c r="G104" s="2" t="s">
        <v>116</v>
      </c>
      <c r="H104" s="2" t="s">
        <v>404</v>
      </c>
      <c r="I104" s="9" t="s">
        <v>118</v>
      </c>
    </row>
    <row r="105" spans="1:9" x14ac:dyDescent="0.25">
      <c r="A105" s="2" t="s">
        <v>176</v>
      </c>
      <c r="B105" s="2" t="s">
        <v>405</v>
      </c>
      <c r="C105" s="2" t="s">
        <v>406</v>
      </c>
      <c r="D105" s="3">
        <v>1777</v>
      </c>
      <c r="E105" s="2" t="s">
        <v>116</v>
      </c>
      <c r="F105" s="3">
        <v>0</v>
      </c>
      <c r="G105" s="2" t="s">
        <v>118</v>
      </c>
      <c r="H105" s="2" t="s">
        <v>268</v>
      </c>
      <c r="I105" s="9" t="s">
        <v>118</v>
      </c>
    </row>
    <row r="106" spans="1:9" x14ac:dyDescent="0.25">
      <c r="A106" s="2" t="s">
        <v>176</v>
      </c>
      <c r="B106" s="2" t="s">
        <v>407</v>
      </c>
      <c r="C106" s="2" t="s">
        <v>408</v>
      </c>
      <c r="D106" s="3">
        <v>114</v>
      </c>
      <c r="E106" s="2" t="s">
        <v>116</v>
      </c>
      <c r="F106" s="3">
        <v>0</v>
      </c>
      <c r="G106" s="2" t="s">
        <v>116</v>
      </c>
      <c r="H106" s="2" t="s">
        <v>409</v>
      </c>
      <c r="I106" s="9" t="s">
        <v>118</v>
      </c>
    </row>
    <row r="107" spans="1:9" x14ac:dyDescent="0.25">
      <c r="A107" s="2" t="s">
        <v>176</v>
      </c>
      <c r="B107" s="2" t="s">
        <v>410</v>
      </c>
      <c r="C107" s="2" t="s">
        <v>411</v>
      </c>
      <c r="D107" s="3">
        <v>82</v>
      </c>
      <c r="E107" s="2" t="s">
        <v>116</v>
      </c>
      <c r="F107" s="3">
        <v>0</v>
      </c>
      <c r="G107" s="2" t="s">
        <v>118</v>
      </c>
      <c r="H107" s="2" t="s">
        <v>412</v>
      </c>
      <c r="I107" s="9" t="s">
        <v>118</v>
      </c>
    </row>
    <row r="108" spans="1:9" x14ac:dyDescent="0.25">
      <c r="A108" s="2" t="s">
        <v>176</v>
      </c>
      <c r="B108" s="2" t="s">
        <v>413</v>
      </c>
      <c r="C108" s="2" t="s">
        <v>414</v>
      </c>
      <c r="D108" s="3">
        <v>1069</v>
      </c>
      <c r="E108" s="2" t="s">
        <v>116</v>
      </c>
      <c r="F108" s="3">
        <v>0</v>
      </c>
      <c r="G108" s="2" t="s">
        <v>118</v>
      </c>
      <c r="H108" s="2" t="s">
        <v>415</v>
      </c>
      <c r="I108" s="9" t="s">
        <v>118</v>
      </c>
    </row>
    <row r="109" spans="1:9" x14ac:dyDescent="0.25">
      <c r="A109" s="2" t="s">
        <v>176</v>
      </c>
      <c r="B109" s="2" t="s">
        <v>416</v>
      </c>
      <c r="C109" s="2" t="s">
        <v>417</v>
      </c>
      <c r="D109" s="3">
        <v>179</v>
      </c>
      <c r="E109" s="2" t="s">
        <v>116</v>
      </c>
      <c r="F109" s="3">
        <v>0</v>
      </c>
      <c r="G109" s="2" t="s">
        <v>116</v>
      </c>
      <c r="H109" s="2" t="s">
        <v>418</v>
      </c>
      <c r="I109" s="9" t="s">
        <v>118</v>
      </c>
    </row>
    <row r="110" spans="1:9" x14ac:dyDescent="0.25">
      <c r="A110" s="2" t="s">
        <v>176</v>
      </c>
      <c r="B110" s="2" t="s">
        <v>419</v>
      </c>
      <c r="C110" s="2" t="s">
        <v>420</v>
      </c>
      <c r="D110" s="3">
        <v>135</v>
      </c>
      <c r="E110" s="2" t="s">
        <v>116</v>
      </c>
      <c r="F110" s="3">
        <v>0</v>
      </c>
      <c r="G110" s="2" t="s">
        <v>116</v>
      </c>
      <c r="H110" s="2" t="s">
        <v>421</v>
      </c>
      <c r="I110" s="9" t="s">
        <v>118</v>
      </c>
    </row>
    <row r="111" spans="1:9" x14ac:dyDescent="0.25">
      <c r="A111" s="2" t="s">
        <v>176</v>
      </c>
      <c r="B111" s="2" t="s">
        <v>422</v>
      </c>
      <c r="C111" s="2" t="s">
        <v>423</v>
      </c>
      <c r="D111" s="3">
        <v>77</v>
      </c>
      <c r="E111" s="2" t="s">
        <v>116</v>
      </c>
      <c r="F111" s="3">
        <v>0</v>
      </c>
      <c r="G111" s="2" t="s">
        <v>116</v>
      </c>
      <c r="H111" s="2" t="s">
        <v>424</v>
      </c>
      <c r="I111" s="9" t="s">
        <v>118</v>
      </c>
    </row>
    <row r="112" spans="1:9" x14ac:dyDescent="0.25">
      <c r="A112" s="2" t="s">
        <v>176</v>
      </c>
      <c r="B112" s="2" t="s">
        <v>425</v>
      </c>
      <c r="C112" s="2" t="s">
        <v>426</v>
      </c>
      <c r="D112" s="3">
        <v>278</v>
      </c>
      <c r="E112" s="2" t="s">
        <v>116</v>
      </c>
      <c r="F112" s="3">
        <v>0</v>
      </c>
      <c r="G112" s="2" t="s">
        <v>116</v>
      </c>
      <c r="H112" s="2" t="s">
        <v>427</v>
      </c>
      <c r="I112" s="9" t="s">
        <v>118</v>
      </c>
    </row>
    <row r="113" spans="1:9" x14ac:dyDescent="0.25">
      <c r="A113" s="2" t="s">
        <v>176</v>
      </c>
      <c r="B113" s="2" t="s">
        <v>428</v>
      </c>
      <c r="C113" s="2" t="s">
        <v>429</v>
      </c>
      <c r="D113" s="3">
        <v>68</v>
      </c>
      <c r="E113" s="2" t="s">
        <v>116</v>
      </c>
      <c r="F113" s="3">
        <v>0</v>
      </c>
      <c r="G113" s="2" t="s">
        <v>118</v>
      </c>
      <c r="H113" s="2" t="s">
        <v>430</v>
      </c>
      <c r="I113" s="9" t="s">
        <v>118</v>
      </c>
    </row>
    <row r="114" spans="1:9" x14ac:dyDescent="0.25">
      <c r="A114" s="2" t="s">
        <v>176</v>
      </c>
      <c r="B114" s="2" t="s">
        <v>431</v>
      </c>
      <c r="C114" s="2" t="s">
        <v>432</v>
      </c>
      <c r="D114" s="3">
        <v>140</v>
      </c>
      <c r="E114" s="2" t="s">
        <v>118</v>
      </c>
      <c r="F114" s="3">
        <v>1126</v>
      </c>
      <c r="G114" s="2" t="s">
        <v>118</v>
      </c>
      <c r="H114" s="2"/>
      <c r="I114" s="10" t="s">
        <v>116</v>
      </c>
    </row>
    <row r="115" spans="1:9" x14ac:dyDescent="0.25">
      <c r="A115" s="2" t="s">
        <v>176</v>
      </c>
      <c r="B115" s="2" t="s">
        <v>433</v>
      </c>
      <c r="C115" s="2" t="s">
        <v>434</v>
      </c>
      <c r="D115" s="3">
        <v>45</v>
      </c>
      <c r="E115" s="2" t="s">
        <v>116</v>
      </c>
      <c r="F115" s="3">
        <v>0</v>
      </c>
      <c r="G115" s="2" t="s">
        <v>116</v>
      </c>
      <c r="H115" s="2" t="s">
        <v>435</v>
      </c>
      <c r="I115" s="9" t="s">
        <v>118</v>
      </c>
    </row>
    <row r="116" spans="1:9" x14ac:dyDescent="0.25">
      <c r="A116" s="2" t="s">
        <v>176</v>
      </c>
      <c r="B116" s="2" t="s">
        <v>436</v>
      </c>
      <c r="C116" s="2" t="s">
        <v>437</v>
      </c>
      <c r="D116" s="3">
        <v>9</v>
      </c>
      <c r="E116" s="2" t="s">
        <v>116</v>
      </c>
      <c r="F116" s="3">
        <v>0</v>
      </c>
      <c r="G116" s="2" t="s">
        <v>116</v>
      </c>
      <c r="H116" s="2" t="s">
        <v>438</v>
      </c>
      <c r="I116" s="9" t="s">
        <v>118</v>
      </c>
    </row>
    <row r="117" spans="1:9" x14ac:dyDescent="0.25">
      <c r="A117" s="2" t="s">
        <v>176</v>
      </c>
      <c r="B117" s="2" t="s">
        <v>439</v>
      </c>
      <c r="C117" s="2" t="s">
        <v>440</v>
      </c>
      <c r="D117" s="3">
        <v>256</v>
      </c>
      <c r="E117" s="2" t="s">
        <v>116</v>
      </c>
      <c r="F117" s="3">
        <v>0</v>
      </c>
      <c r="G117" s="2" t="s">
        <v>116</v>
      </c>
      <c r="H117" s="2" t="s">
        <v>441</v>
      </c>
      <c r="I117" s="9" t="s">
        <v>118</v>
      </c>
    </row>
    <row r="118" spans="1:9" x14ac:dyDescent="0.25">
      <c r="A118" s="2" t="s">
        <v>176</v>
      </c>
      <c r="B118" s="2" t="s">
        <v>442</v>
      </c>
      <c r="C118" s="2" t="s">
        <v>443</v>
      </c>
      <c r="D118" s="3">
        <v>54</v>
      </c>
      <c r="E118" s="2" t="s">
        <v>116</v>
      </c>
      <c r="F118" s="3">
        <v>0</v>
      </c>
      <c r="G118" s="2" t="s">
        <v>116</v>
      </c>
      <c r="H118" s="2" t="s">
        <v>444</v>
      </c>
      <c r="I118" s="9" t="s">
        <v>118</v>
      </c>
    </row>
    <row r="119" spans="1:9" x14ac:dyDescent="0.25">
      <c r="A119" s="2" t="s">
        <v>176</v>
      </c>
      <c r="B119" s="2" t="s">
        <v>445</v>
      </c>
      <c r="C119" s="2" t="s">
        <v>446</v>
      </c>
      <c r="D119" s="3">
        <v>52</v>
      </c>
      <c r="E119" s="2" t="s">
        <v>116</v>
      </c>
      <c r="F119" s="3">
        <v>0</v>
      </c>
      <c r="G119" s="2" t="s">
        <v>116</v>
      </c>
      <c r="H119" s="2" t="s">
        <v>447</v>
      </c>
      <c r="I119" s="9" t="s">
        <v>118</v>
      </c>
    </row>
    <row r="120" spans="1:9" x14ac:dyDescent="0.25">
      <c r="A120" s="2" t="s">
        <v>176</v>
      </c>
      <c r="B120" s="2" t="s">
        <v>448</v>
      </c>
      <c r="C120" s="2" t="s">
        <v>449</v>
      </c>
      <c r="D120" s="3">
        <v>72</v>
      </c>
      <c r="E120" s="2" t="s">
        <v>116</v>
      </c>
      <c r="F120" s="3">
        <v>0</v>
      </c>
      <c r="G120" s="2" t="s">
        <v>116</v>
      </c>
      <c r="H120" s="2" t="s">
        <v>450</v>
      </c>
      <c r="I120" s="9" t="s">
        <v>118</v>
      </c>
    </row>
    <row r="121" spans="1:9" x14ac:dyDescent="0.25">
      <c r="A121" s="2" t="s">
        <v>176</v>
      </c>
      <c r="B121" s="2" t="s">
        <v>451</v>
      </c>
      <c r="C121" s="2" t="s">
        <v>452</v>
      </c>
      <c r="D121" s="3">
        <v>274</v>
      </c>
      <c r="E121" s="2" t="s">
        <v>116</v>
      </c>
      <c r="F121" s="3">
        <v>0</v>
      </c>
      <c r="G121" s="2" t="s">
        <v>116</v>
      </c>
      <c r="H121" s="2" t="s">
        <v>453</v>
      </c>
      <c r="I121" s="9" t="s">
        <v>118</v>
      </c>
    </row>
    <row r="122" spans="1:9" x14ac:dyDescent="0.25">
      <c r="A122" s="2" t="s">
        <v>176</v>
      </c>
      <c r="B122" s="2" t="s">
        <v>454</v>
      </c>
      <c r="C122" s="2" t="s">
        <v>455</v>
      </c>
      <c r="D122" s="3">
        <v>11</v>
      </c>
      <c r="E122" s="2" t="s">
        <v>116</v>
      </c>
      <c r="F122" s="3">
        <v>0</v>
      </c>
      <c r="G122" s="2" t="s">
        <v>116</v>
      </c>
      <c r="H122" s="2" t="s">
        <v>456</v>
      </c>
      <c r="I122" s="9" t="s">
        <v>118</v>
      </c>
    </row>
    <row r="123" spans="1:9" x14ac:dyDescent="0.25">
      <c r="A123" s="2" t="s">
        <v>176</v>
      </c>
      <c r="B123" s="2" t="s">
        <v>457</v>
      </c>
      <c r="C123" s="2" t="s">
        <v>458</v>
      </c>
      <c r="D123" s="3">
        <v>17</v>
      </c>
      <c r="E123" s="2" t="s">
        <v>116</v>
      </c>
      <c r="F123" s="3">
        <v>0</v>
      </c>
      <c r="G123" s="2" t="s">
        <v>116</v>
      </c>
      <c r="H123" s="2" t="s">
        <v>421</v>
      </c>
      <c r="I123" s="9" t="s">
        <v>118</v>
      </c>
    </row>
    <row r="124" spans="1:9" x14ac:dyDescent="0.25">
      <c r="A124" s="2" t="s">
        <v>176</v>
      </c>
      <c r="B124" s="2" t="s">
        <v>459</v>
      </c>
      <c r="C124" s="2" t="s">
        <v>460</v>
      </c>
      <c r="D124" s="3">
        <v>71</v>
      </c>
      <c r="E124" s="2" t="s">
        <v>116</v>
      </c>
      <c r="F124" s="3">
        <v>0</v>
      </c>
      <c r="G124" s="2" t="s">
        <v>116</v>
      </c>
      <c r="H124" s="2" t="s">
        <v>461</v>
      </c>
      <c r="I124" s="9" t="s">
        <v>118</v>
      </c>
    </row>
    <row r="125" spans="1:9" x14ac:dyDescent="0.25">
      <c r="A125" s="2" t="s">
        <v>176</v>
      </c>
      <c r="B125" s="2" t="s">
        <v>462</v>
      </c>
      <c r="C125" s="2" t="s">
        <v>463</v>
      </c>
      <c r="D125" s="3">
        <v>180</v>
      </c>
      <c r="E125" s="2" t="s">
        <v>116</v>
      </c>
      <c r="F125" s="3">
        <v>0</v>
      </c>
      <c r="G125" s="2" t="s">
        <v>116</v>
      </c>
      <c r="H125" s="2" t="s">
        <v>427</v>
      </c>
      <c r="I125" s="9" t="s">
        <v>118</v>
      </c>
    </row>
    <row r="126" spans="1:9" x14ac:dyDescent="0.25">
      <c r="A126" s="2" t="s">
        <v>176</v>
      </c>
      <c r="B126" s="2" t="s">
        <v>464</v>
      </c>
      <c r="C126" s="2" t="s">
        <v>465</v>
      </c>
      <c r="D126" s="3">
        <v>11</v>
      </c>
      <c r="E126" s="2" t="s">
        <v>116</v>
      </c>
      <c r="F126" s="3">
        <v>0</v>
      </c>
      <c r="G126" s="2" t="s">
        <v>116</v>
      </c>
      <c r="H126" s="2" t="s">
        <v>466</v>
      </c>
      <c r="I126" s="9" t="s">
        <v>118</v>
      </c>
    </row>
    <row r="127" spans="1:9" x14ac:dyDescent="0.25">
      <c r="A127" s="2" t="s">
        <v>176</v>
      </c>
      <c r="B127" s="2" t="s">
        <v>467</v>
      </c>
      <c r="C127" s="2" t="s">
        <v>468</v>
      </c>
      <c r="D127" s="3">
        <v>43</v>
      </c>
      <c r="E127" s="2" t="s">
        <v>116</v>
      </c>
      <c r="F127" s="3">
        <v>0</v>
      </c>
      <c r="G127" s="2" t="s">
        <v>116</v>
      </c>
      <c r="H127" s="2" t="s">
        <v>469</v>
      </c>
      <c r="I127" s="9" t="s">
        <v>118</v>
      </c>
    </row>
    <row r="128" spans="1:9" x14ac:dyDescent="0.25">
      <c r="A128" s="2" t="s">
        <v>176</v>
      </c>
      <c r="B128" s="2" t="s">
        <v>470</v>
      </c>
      <c r="C128" s="2" t="s">
        <v>471</v>
      </c>
      <c r="D128" s="3">
        <v>69</v>
      </c>
      <c r="E128" s="2" t="s">
        <v>116</v>
      </c>
      <c r="F128" s="3">
        <v>0</v>
      </c>
      <c r="G128" s="2" t="s">
        <v>116</v>
      </c>
      <c r="H128" s="2" t="s">
        <v>472</v>
      </c>
      <c r="I128" s="9" t="s">
        <v>118</v>
      </c>
    </row>
    <row r="129" spans="1:9" x14ac:dyDescent="0.25">
      <c r="A129" s="2" t="s">
        <v>176</v>
      </c>
      <c r="B129" s="2" t="s">
        <v>473</v>
      </c>
      <c r="C129" s="2" t="s">
        <v>474</v>
      </c>
      <c r="D129" s="3">
        <v>15</v>
      </c>
      <c r="E129" s="2" t="s">
        <v>116</v>
      </c>
      <c r="F129" s="3">
        <v>0</v>
      </c>
      <c r="G129" s="2" t="s">
        <v>116</v>
      </c>
      <c r="H129" s="2" t="s">
        <v>475</v>
      </c>
      <c r="I129" s="9" t="s">
        <v>118</v>
      </c>
    </row>
    <row r="130" spans="1:9" x14ac:dyDescent="0.25">
      <c r="A130" s="2" t="s">
        <v>176</v>
      </c>
      <c r="B130" s="2" t="s">
        <v>476</v>
      </c>
      <c r="C130" s="2" t="s">
        <v>477</v>
      </c>
      <c r="D130" s="3">
        <v>4781</v>
      </c>
      <c r="E130" s="2" t="s">
        <v>116</v>
      </c>
      <c r="F130" s="3">
        <v>0</v>
      </c>
      <c r="G130" s="2" t="s">
        <v>116</v>
      </c>
      <c r="H130" s="2" t="s">
        <v>478</v>
      </c>
      <c r="I130" s="9" t="s">
        <v>118</v>
      </c>
    </row>
    <row r="131" spans="1:9" x14ac:dyDescent="0.25">
      <c r="A131" s="2" t="s">
        <v>176</v>
      </c>
      <c r="B131" s="2" t="s">
        <v>479</v>
      </c>
      <c r="C131" s="2" t="s">
        <v>480</v>
      </c>
      <c r="D131" s="3">
        <v>4532</v>
      </c>
      <c r="E131" s="2" t="s">
        <v>116</v>
      </c>
      <c r="F131" s="3">
        <v>0</v>
      </c>
      <c r="G131" s="2" t="s">
        <v>116</v>
      </c>
      <c r="H131" s="2" t="s">
        <v>218</v>
      </c>
      <c r="I131" s="9" t="s">
        <v>118</v>
      </c>
    </row>
    <row r="132" spans="1:9" x14ac:dyDescent="0.25">
      <c r="A132" s="2" t="s">
        <v>176</v>
      </c>
      <c r="B132" s="2" t="s">
        <v>481</v>
      </c>
      <c r="C132" s="2" t="s">
        <v>482</v>
      </c>
      <c r="D132" s="3">
        <v>483</v>
      </c>
      <c r="E132" s="2" t="s">
        <v>116</v>
      </c>
      <c r="F132" s="3">
        <v>0</v>
      </c>
      <c r="G132" s="2" t="s">
        <v>116</v>
      </c>
      <c r="H132" s="2" t="s">
        <v>221</v>
      </c>
      <c r="I132" s="9" t="s">
        <v>118</v>
      </c>
    </row>
    <row r="133" spans="1:9" x14ac:dyDescent="0.25">
      <c r="A133" s="2" t="s">
        <v>176</v>
      </c>
      <c r="B133" s="2" t="s">
        <v>483</v>
      </c>
      <c r="C133" s="2" t="s">
        <v>484</v>
      </c>
      <c r="D133" s="3">
        <v>371</v>
      </c>
      <c r="E133" s="2" t="s">
        <v>116</v>
      </c>
      <c r="F133" s="3">
        <v>0</v>
      </c>
      <c r="G133" s="2" t="s">
        <v>118</v>
      </c>
      <c r="H133" s="2" t="s">
        <v>485</v>
      </c>
      <c r="I133" s="9" t="s">
        <v>118</v>
      </c>
    </row>
    <row r="134" spans="1:9" x14ac:dyDescent="0.25">
      <c r="A134" s="2" t="s">
        <v>176</v>
      </c>
      <c r="B134" s="2" t="s">
        <v>486</v>
      </c>
      <c r="C134" s="2" t="s">
        <v>487</v>
      </c>
      <c r="D134" s="3">
        <v>1079</v>
      </c>
      <c r="E134" s="2" t="s">
        <v>116</v>
      </c>
      <c r="F134" s="3">
        <v>0</v>
      </c>
      <c r="G134" s="2" t="s">
        <v>118</v>
      </c>
      <c r="H134" s="2" t="s">
        <v>461</v>
      </c>
      <c r="I134" s="9" t="s">
        <v>118</v>
      </c>
    </row>
    <row r="135" spans="1:9" x14ac:dyDescent="0.25">
      <c r="A135" s="2" t="s">
        <v>176</v>
      </c>
      <c r="B135" s="2" t="s">
        <v>488</v>
      </c>
      <c r="C135" s="2" t="s">
        <v>489</v>
      </c>
      <c r="D135" s="3">
        <v>1614</v>
      </c>
      <c r="E135" s="2" t="s">
        <v>116</v>
      </c>
      <c r="F135" s="3">
        <v>0</v>
      </c>
      <c r="G135" s="2" t="s">
        <v>116</v>
      </c>
      <c r="H135" s="2" t="s">
        <v>490</v>
      </c>
      <c r="I135" s="9" t="s">
        <v>118</v>
      </c>
    </row>
    <row r="136" spans="1:9" x14ac:dyDescent="0.25">
      <c r="A136" s="2" t="s">
        <v>176</v>
      </c>
      <c r="B136" s="2" t="s">
        <v>491</v>
      </c>
      <c r="C136" s="2" t="s">
        <v>492</v>
      </c>
      <c r="D136" s="3">
        <v>120</v>
      </c>
      <c r="E136" s="2" t="s">
        <v>116</v>
      </c>
      <c r="F136" s="3">
        <v>0</v>
      </c>
      <c r="G136" s="2" t="s">
        <v>116</v>
      </c>
      <c r="H136" s="2" t="s">
        <v>435</v>
      </c>
      <c r="I136" s="9" t="s">
        <v>118</v>
      </c>
    </row>
    <row r="137" spans="1:9" x14ac:dyDescent="0.25">
      <c r="A137" s="2" t="s">
        <v>176</v>
      </c>
      <c r="B137" s="2" t="s">
        <v>493</v>
      </c>
      <c r="C137" s="2" t="s">
        <v>494</v>
      </c>
      <c r="D137" s="3">
        <v>146</v>
      </c>
      <c r="E137" s="2" t="s">
        <v>116</v>
      </c>
      <c r="F137" s="3">
        <v>0</v>
      </c>
      <c r="G137" s="2" t="s">
        <v>116</v>
      </c>
      <c r="H137" s="2" t="s">
        <v>438</v>
      </c>
      <c r="I137" s="9" t="s">
        <v>118</v>
      </c>
    </row>
    <row r="138" spans="1:9" x14ac:dyDescent="0.25">
      <c r="A138" s="2" t="s">
        <v>176</v>
      </c>
      <c r="B138" s="2" t="s">
        <v>495</v>
      </c>
      <c r="C138" s="2" t="s">
        <v>496</v>
      </c>
      <c r="D138" s="3">
        <v>198</v>
      </c>
      <c r="E138" s="2" t="s">
        <v>116</v>
      </c>
      <c r="F138" s="3">
        <v>0</v>
      </c>
      <c r="G138" s="2" t="s">
        <v>116</v>
      </c>
      <c r="H138" s="2" t="s">
        <v>497</v>
      </c>
      <c r="I138" s="9" t="s">
        <v>118</v>
      </c>
    </row>
    <row r="139" spans="1:9" x14ac:dyDescent="0.25">
      <c r="A139" s="2" t="s">
        <v>176</v>
      </c>
      <c r="B139" s="2" t="s">
        <v>498</v>
      </c>
      <c r="C139" s="2" t="s">
        <v>499</v>
      </c>
      <c r="D139" s="3">
        <v>581</v>
      </c>
      <c r="E139" s="2" t="s">
        <v>116</v>
      </c>
      <c r="F139" s="3">
        <v>0</v>
      </c>
      <c r="G139" s="2" t="s">
        <v>116</v>
      </c>
      <c r="H139" s="2" t="s">
        <v>500</v>
      </c>
      <c r="I139" s="9" t="s">
        <v>118</v>
      </c>
    </row>
    <row r="140" spans="1:9" x14ac:dyDescent="0.25">
      <c r="A140" s="2" t="s">
        <v>176</v>
      </c>
      <c r="B140" s="2" t="s">
        <v>501</v>
      </c>
      <c r="C140" s="2" t="s">
        <v>502</v>
      </c>
      <c r="D140" s="3">
        <v>217</v>
      </c>
      <c r="E140" s="2" t="s">
        <v>116</v>
      </c>
      <c r="F140" s="3">
        <v>0</v>
      </c>
      <c r="G140" s="2" t="s">
        <v>116</v>
      </c>
      <c r="H140" s="2" t="s">
        <v>503</v>
      </c>
      <c r="I140" s="9" t="s">
        <v>118</v>
      </c>
    </row>
    <row r="141" spans="1:9" x14ac:dyDescent="0.25">
      <c r="A141" s="2" t="s">
        <v>176</v>
      </c>
      <c r="B141" s="2" t="s">
        <v>504</v>
      </c>
      <c r="C141" s="2" t="s">
        <v>505</v>
      </c>
      <c r="D141" s="3">
        <v>349</v>
      </c>
      <c r="E141" s="2" t="s">
        <v>116</v>
      </c>
      <c r="F141" s="3">
        <v>0</v>
      </c>
      <c r="G141" s="2" t="s">
        <v>116</v>
      </c>
      <c r="H141" s="2" t="s">
        <v>506</v>
      </c>
      <c r="I141" s="9" t="s">
        <v>118</v>
      </c>
    </row>
    <row r="142" spans="1:9" x14ac:dyDescent="0.25">
      <c r="A142" s="2" t="s">
        <v>176</v>
      </c>
      <c r="B142" s="2" t="s">
        <v>507</v>
      </c>
      <c r="C142" s="2" t="s">
        <v>508</v>
      </c>
      <c r="D142" s="3">
        <v>149</v>
      </c>
      <c r="E142" s="2" t="s">
        <v>116</v>
      </c>
      <c r="F142" s="3">
        <v>0</v>
      </c>
      <c r="G142" s="2" t="s">
        <v>116</v>
      </c>
      <c r="H142" s="2" t="s">
        <v>509</v>
      </c>
      <c r="I142" s="9" t="s">
        <v>118</v>
      </c>
    </row>
    <row r="143" spans="1:9" x14ac:dyDescent="0.25">
      <c r="A143" s="2" t="s">
        <v>176</v>
      </c>
      <c r="B143" s="2" t="s">
        <v>510</v>
      </c>
      <c r="C143" s="2" t="s">
        <v>511</v>
      </c>
      <c r="D143" s="3">
        <v>738</v>
      </c>
      <c r="E143" s="2" t="s">
        <v>116</v>
      </c>
      <c r="F143" s="3">
        <v>0</v>
      </c>
      <c r="G143" s="2" t="s">
        <v>116</v>
      </c>
      <c r="H143" s="2" t="s">
        <v>218</v>
      </c>
      <c r="I143" s="9" t="s">
        <v>118</v>
      </c>
    </row>
    <row r="144" spans="1:9" x14ac:dyDescent="0.25">
      <c r="A144" s="2" t="s">
        <v>176</v>
      </c>
      <c r="B144" s="2" t="s">
        <v>512</v>
      </c>
      <c r="C144" s="2" t="s">
        <v>513</v>
      </c>
      <c r="D144" s="3">
        <v>439</v>
      </c>
      <c r="E144" s="2" t="s">
        <v>116</v>
      </c>
      <c r="F144" s="3">
        <v>0</v>
      </c>
      <c r="G144" s="2" t="s">
        <v>116</v>
      </c>
      <c r="H144" s="2" t="s">
        <v>238</v>
      </c>
      <c r="I144" s="9" t="s">
        <v>118</v>
      </c>
    </row>
    <row r="145" spans="1:9" x14ac:dyDescent="0.25">
      <c r="A145" s="2" t="s">
        <v>176</v>
      </c>
      <c r="B145" s="2" t="s">
        <v>514</v>
      </c>
      <c r="C145" s="2" t="s">
        <v>515</v>
      </c>
      <c r="D145" s="3">
        <v>829</v>
      </c>
      <c r="E145" s="2" t="s">
        <v>116</v>
      </c>
      <c r="F145" s="3">
        <v>0</v>
      </c>
      <c r="G145" s="2" t="s">
        <v>116</v>
      </c>
      <c r="H145" s="2" t="s">
        <v>516</v>
      </c>
      <c r="I145" s="9" t="s">
        <v>118</v>
      </c>
    </row>
    <row r="146" spans="1:9" x14ac:dyDescent="0.25">
      <c r="A146" s="2" t="s">
        <v>176</v>
      </c>
      <c r="B146" s="2" t="s">
        <v>517</v>
      </c>
      <c r="C146" s="2" t="s">
        <v>518</v>
      </c>
      <c r="D146" s="3">
        <v>57</v>
      </c>
      <c r="E146" s="2" t="s">
        <v>118</v>
      </c>
      <c r="F146" s="3">
        <v>368</v>
      </c>
      <c r="G146" s="2" t="s">
        <v>116</v>
      </c>
      <c r="H146" s="2" t="s">
        <v>519</v>
      </c>
      <c r="I146" s="9" t="s">
        <v>118</v>
      </c>
    </row>
    <row r="147" spans="1:9" x14ac:dyDescent="0.25">
      <c r="A147" s="2" t="s">
        <v>176</v>
      </c>
      <c r="B147" s="2" t="s">
        <v>520</v>
      </c>
      <c r="C147" s="2" t="s">
        <v>521</v>
      </c>
      <c r="D147" s="3">
        <v>30</v>
      </c>
      <c r="E147" s="2" t="s">
        <v>116</v>
      </c>
      <c r="F147" s="3">
        <v>0</v>
      </c>
      <c r="G147" s="2" t="s">
        <v>116</v>
      </c>
      <c r="H147" s="2" t="s">
        <v>435</v>
      </c>
      <c r="I147" s="9" t="s">
        <v>118</v>
      </c>
    </row>
    <row r="148" spans="1:9" x14ac:dyDescent="0.25">
      <c r="A148" s="2" t="s">
        <v>176</v>
      </c>
      <c r="B148" s="2" t="s">
        <v>522</v>
      </c>
      <c r="C148" s="2" t="s">
        <v>523</v>
      </c>
      <c r="D148" s="3">
        <v>68</v>
      </c>
      <c r="E148" s="2" t="s">
        <v>116</v>
      </c>
      <c r="F148" s="3">
        <v>0</v>
      </c>
      <c r="G148" s="2" t="s">
        <v>116</v>
      </c>
      <c r="H148" s="2" t="s">
        <v>438</v>
      </c>
      <c r="I148" s="9" t="s">
        <v>118</v>
      </c>
    </row>
    <row r="149" spans="1:9" x14ac:dyDescent="0.25">
      <c r="A149" s="2" t="s">
        <v>176</v>
      </c>
      <c r="B149" s="2" t="s">
        <v>524</v>
      </c>
      <c r="C149" s="2" t="s">
        <v>525</v>
      </c>
      <c r="D149" s="3">
        <v>68</v>
      </c>
      <c r="E149" s="2" t="s">
        <v>116</v>
      </c>
      <c r="F149" s="3">
        <v>0</v>
      </c>
      <c r="G149" s="2" t="s">
        <v>116</v>
      </c>
      <c r="H149" s="2" t="s">
        <v>179</v>
      </c>
      <c r="I149" s="9" t="s">
        <v>118</v>
      </c>
    </row>
    <row r="150" spans="1:9" x14ac:dyDescent="0.25">
      <c r="A150" s="2" t="s">
        <v>176</v>
      </c>
      <c r="B150" s="2" t="s">
        <v>526</v>
      </c>
      <c r="C150" s="2" t="s">
        <v>527</v>
      </c>
      <c r="D150" s="3">
        <v>122</v>
      </c>
      <c r="E150" s="2" t="s">
        <v>116</v>
      </c>
      <c r="F150" s="3">
        <v>0</v>
      </c>
      <c r="G150" s="2" t="s">
        <v>116</v>
      </c>
      <c r="H150" s="2" t="s">
        <v>415</v>
      </c>
      <c r="I150" s="9" t="s">
        <v>118</v>
      </c>
    </row>
    <row r="151" spans="1:9" x14ac:dyDescent="0.25">
      <c r="A151" s="2" t="s">
        <v>176</v>
      </c>
      <c r="B151" s="2" t="s">
        <v>528</v>
      </c>
      <c r="C151" s="2" t="s">
        <v>529</v>
      </c>
      <c r="D151" s="3">
        <v>1</v>
      </c>
      <c r="E151" s="2" t="s">
        <v>116</v>
      </c>
      <c r="F151" s="3">
        <v>0</v>
      </c>
      <c r="G151" s="2" t="s">
        <v>116</v>
      </c>
      <c r="H151" s="2" t="s">
        <v>530</v>
      </c>
      <c r="I151" s="9" t="s">
        <v>118</v>
      </c>
    </row>
    <row r="152" spans="1:9" x14ac:dyDescent="0.25">
      <c r="A152" s="2" t="s">
        <v>176</v>
      </c>
      <c r="B152" s="2" t="s">
        <v>531</v>
      </c>
      <c r="C152" s="2" t="s">
        <v>532</v>
      </c>
      <c r="D152" s="3">
        <v>74</v>
      </c>
      <c r="E152" s="2" t="s">
        <v>116</v>
      </c>
      <c r="F152" s="3">
        <v>0</v>
      </c>
      <c r="G152" s="2" t="s">
        <v>116</v>
      </c>
      <c r="H152" s="2" t="s">
        <v>533</v>
      </c>
      <c r="I152" s="9" t="s">
        <v>118</v>
      </c>
    </row>
    <row r="153" spans="1:9" x14ac:dyDescent="0.25">
      <c r="A153" s="2" t="s">
        <v>176</v>
      </c>
      <c r="B153" s="2" t="s">
        <v>534</v>
      </c>
      <c r="C153" s="2" t="s">
        <v>535</v>
      </c>
      <c r="D153" s="3">
        <v>1</v>
      </c>
      <c r="E153" s="2" t="s">
        <v>116</v>
      </c>
      <c r="F153" s="3">
        <v>0</v>
      </c>
      <c r="G153" s="2" t="s">
        <v>116</v>
      </c>
      <c r="H153" s="2" t="s">
        <v>233</v>
      </c>
      <c r="I153" s="9" t="s">
        <v>118</v>
      </c>
    </row>
    <row r="154" spans="1:9" x14ac:dyDescent="0.25">
      <c r="A154" s="2" t="s">
        <v>176</v>
      </c>
      <c r="B154" s="2" t="s">
        <v>536</v>
      </c>
      <c r="C154" s="2" t="s">
        <v>537</v>
      </c>
      <c r="D154" s="3">
        <v>451</v>
      </c>
      <c r="E154" s="2" t="s">
        <v>116</v>
      </c>
      <c r="F154" s="3">
        <v>0</v>
      </c>
      <c r="G154" s="2" t="s">
        <v>116</v>
      </c>
      <c r="H154" s="2" t="s">
        <v>478</v>
      </c>
      <c r="I154" s="9" t="s">
        <v>118</v>
      </c>
    </row>
    <row r="155" spans="1:9" x14ac:dyDescent="0.25">
      <c r="A155" s="2" t="s">
        <v>176</v>
      </c>
      <c r="B155" s="2" t="s">
        <v>538</v>
      </c>
      <c r="C155" s="2" t="s">
        <v>539</v>
      </c>
      <c r="D155" s="3">
        <v>1147</v>
      </c>
      <c r="E155" s="2" t="s">
        <v>118</v>
      </c>
      <c r="F155" s="3">
        <v>522</v>
      </c>
      <c r="G155" s="2" t="s">
        <v>116</v>
      </c>
      <c r="H155" s="2" t="s">
        <v>179</v>
      </c>
      <c r="I155" s="9" t="s">
        <v>118</v>
      </c>
    </row>
    <row r="156" spans="1:9" x14ac:dyDescent="0.25">
      <c r="A156" s="2" t="s">
        <v>176</v>
      </c>
      <c r="B156" s="2" t="s">
        <v>540</v>
      </c>
      <c r="C156" s="2" t="s">
        <v>541</v>
      </c>
      <c r="D156" s="3">
        <v>80</v>
      </c>
      <c r="E156" s="2" t="s">
        <v>116</v>
      </c>
      <c r="F156" s="3">
        <v>0</v>
      </c>
      <c r="G156" s="2" t="s">
        <v>116</v>
      </c>
      <c r="H156" s="2" t="s">
        <v>215</v>
      </c>
      <c r="I156" s="9" t="s">
        <v>118</v>
      </c>
    </row>
    <row r="157" spans="1:9" x14ac:dyDescent="0.25">
      <c r="A157" s="2" t="s">
        <v>176</v>
      </c>
      <c r="B157" s="2" t="s">
        <v>542</v>
      </c>
      <c r="C157" s="2" t="s">
        <v>543</v>
      </c>
      <c r="D157" s="3">
        <v>41</v>
      </c>
      <c r="E157" s="2" t="s">
        <v>116</v>
      </c>
      <c r="F157" s="3">
        <v>0</v>
      </c>
      <c r="G157" s="2" t="s">
        <v>116</v>
      </c>
      <c r="H157" s="2" t="s">
        <v>233</v>
      </c>
      <c r="I157" s="9" t="s">
        <v>118</v>
      </c>
    </row>
    <row r="158" spans="1:9" x14ac:dyDescent="0.25">
      <c r="A158" s="2" t="s">
        <v>176</v>
      </c>
      <c r="B158" s="2" t="s">
        <v>544</v>
      </c>
      <c r="C158" s="2" t="s">
        <v>545</v>
      </c>
      <c r="D158" s="3">
        <v>70</v>
      </c>
      <c r="E158" s="2" t="s">
        <v>116</v>
      </c>
      <c r="F158" s="3">
        <v>0</v>
      </c>
      <c r="G158" s="2" t="s">
        <v>116</v>
      </c>
      <c r="H158" s="2" t="s">
        <v>546</v>
      </c>
      <c r="I158" s="9" t="s">
        <v>118</v>
      </c>
    </row>
    <row r="159" spans="1:9" x14ac:dyDescent="0.25">
      <c r="A159" s="2" t="s">
        <v>176</v>
      </c>
      <c r="B159" s="2" t="s">
        <v>547</v>
      </c>
      <c r="C159" s="2" t="s">
        <v>548</v>
      </c>
      <c r="D159" s="3">
        <v>280</v>
      </c>
      <c r="E159" s="2" t="s">
        <v>116</v>
      </c>
      <c r="F159" s="3">
        <v>0</v>
      </c>
      <c r="G159" s="2" t="s">
        <v>116</v>
      </c>
      <c r="H159" s="2" t="s">
        <v>250</v>
      </c>
      <c r="I159" s="9" t="s">
        <v>118</v>
      </c>
    </row>
    <row r="160" spans="1:9" x14ac:dyDescent="0.25">
      <c r="A160" s="2" t="s">
        <v>176</v>
      </c>
      <c r="B160" s="2" t="s">
        <v>549</v>
      </c>
      <c r="C160" s="2" t="s">
        <v>550</v>
      </c>
      <c r="D160" s="3">
        <v>37</v>
      </c>
      <c r="E160" s="2" t="s">
        <v>116</v>
      </c>
      <c r="F160" s="3">
        <v>0</v>
      </c>
      <c r="G160" s="2" t="s">
        <v>116</v>
      </c>
      <c r="H160" s="2" t="s">
        <v>203</v>
      </c>
      <c r="I160" s="9" t="s">
        <v>118</v>
      </c>
    </row>
    <row r="161" spans="1:9" x14ac:dyDescent="0.25">
      <c r="A161" s="2" t="s">
        <v>176</v>
      </c>
      <c r="B161" s="2" t="s">
        <v>551</v>
      </c>
      <c r="C161" s="2" t="s">
        <v>552</v>
      </c>
      <c r="D161" s="3">
        <v>585</v>
      </c>
      <c r="E161" s="2" t="s">
        <v>116</v>
      </c>
      <c r="F161" s="3">
        <v>0</v>
      </c>
      <c r="G161" s="2" t="s">
        <v>116</v>
      </c>
      <c r="H161" s="2" t="s">
        <v>553</v>
      </c>
      <c r="I161" s="9" t="s">
        <v>118</v>
      </c>
    </row>
    <row r="162" spans="1:9" x14ac:dyDescent="0.25">
      <c r="A162" s="2" t="s">
        <v>176</v>
      </c>
      <c r="B162" s="2" t="s">
        <v>554</v>
      </c>
      <c r="C162" s="2" t="s">
        <v>555</v>
      </c>
      <c r="D162" s="3">
        <v>90</v>
      </c>
      <c r="E162" s="2" t="s">
        <v>116</v>
      </c>
      <c r="F162" s="3">
        <v>0</v>
      </c>
      <c r="G162" s="2" t="s">
        <v>116</v>
      </c>
      <c r="H162" s="2" t="s">
        <v>556</v>
      </c>
      <c r="I162" s="9" t="s">
        <v>118</v>
      </c>
    </row>
    <row r="163" spans="1:9" x14ac:dyDescent="0.25">
      <c r="A163" s="2" t="s">
        <v>176</v>
      </c>
      <c r="B163" s="2" t="s">
        <v>557</v>
      </c>
      <c r="C163" s="2" t="s">
        <v>558</v>
      </c>
      <c r="D163" s="3">
        <v>95</v>
      </c>
      <c r="E163" s="2" t="s">
        <v>116</v>
      </c>
      <c r="F163" s="3">
        <v>0</v>
      </c>
      <c r="G163" s="2" t="s">
        <v>116</v>
      </c>
      <c r="H163" s="2" t="s">
        <v>559</v>
      </c>
      <c r="I163" s="9" t="s">
        <v>118</v>
      </c>
    </row>
    <row r="164" spans="1:9" x14ac:dyDescent="0.25">
      <c r="A164" s="2" t="s">
        <v>176</v>
      </c>
      <c r="B164" s="2" t="s">
        <v>560</v>
      </c>
      <c r="C164" s="2" t="s">
        <v>561</v>
      </c>
      <c r="D164" s="3">
        <v>88</v>
      </c>
      <c r="E164" s="2" t="s">
        <v>116</v>
      </c>
      <c r="F164" s="3">
        <v>0</v>
      </c>
      <c r="G164" s="2" t="s">
        <v>116</v>
      </c>
      <c r="H164" s="2" t="s">
        <v>562</v>
      </c>
      <c r="I164" s="9" t="s">
        <v>118</v>
      </c>
    </row>
    <row r="165" spans="1:9" x14ac:dyDescent="0.25">
      <c r="A165" s="2" t="s">
        <v>176</v>
      </c>
      <c r="B165" s="2" t="s">
        <v>563</v>
      </c>
      <c r="C165" s="2" t="s">
        <v>564</v>
      </c>
      <c r="D165" s="3">
        <v>0</v>
      </c>
      <c r="E165" s="2" t="s">
        <v>116</v>
      </c>
      <c r="F165" s="3">
        <v>0</v>
      </c>
      <c r="G165" s="2" t="s">
        <v>116</v>
      </c>
      <c r="H165" s="2" t="s">
        <v>565</v>
      </c>
      <c r="I165" s="9" t="s">
        <v>118</v>
      </c>
    </row>
    <row r="166" spans="1:9" x14ac:dyDescent="0.25">
      <c r="A166" s="2" t="s">
        <v>176</v>
      </c>
      <c r="B166" s="2" t="s">
        <v>566</v>
      </c>
      <c r="C166" s="2" t="s">
        <v>567</v>
      </c>
      <c r="D166" s="3">
        <v>1</v>
      </c>
      <c r="E166" s="2" t="s">
        <v>116</v>
      </c>
      <c r="F166" s="3">
        <v>0</v>
      </c>
      <c r="G166" s="2" t="s">
        <v>116</v>
      </c>
      <c r="H166" s="2" t="s">
        <v>568</v>
      </c>
      <c r="I166" s="9" t="s">
        <v>118</v>
      </c>
    </row>
    <row r="167" spans="1:9" x14ac:dyDescent="0.25">
      <c r="A167" s="2" t="s">
        <v>176</v>
      </c>
      <c r="B167" s="2" t="s">
        <v>569</v>
      </c>
      <c r="C167" s="2" t="s">
        <v>570</v>
      </c>
      <c r="D167" s="3">
        <v>16</v>
      </c>
      <c r="E167" s="2" t="s">
        <v>116</v>
      </c>
      <c r="F167" s="3">
        <v>0</v>
      </c>
      <c r="G167" s="2" t="s">
        <v>116</v>
      </c>
      <c r="H167" s="2" t="s">
        <v>571</v>
      </c>
      <c r="I167" s="9" t="s">
        <v>118</v>
      </c>
    </row>
    <row r="168" spans="1:9" x14ac:dyDescent="0.25">
      <c r="A168" s="2" t="s">
        <v>176</v>
      </c>
      <c r="B168" s="2" t="s">
        <v>572</v>
      </c>
      <c r="C168" s="2" t="s">
        <v>573</v>
      </c>
      <c r="D168" s="3">
        <v>7</v>
      </c>
      <c r="E168" s="2" t="s">
        <v>118</v>
      </c>
      <c r="F168" s="3">
        <v>926</v>
      </c>
      <c r="G168" s="2" t="s">
        <v>116</v>
      </c>
      <c r="H168" s="2" t="s">
        <v>574</v>
      </c>
      <c r="I168" s="9" t="s">
        <v>118</v>
      </c>
    </row>
    <row r="169" spans="1:9" x14ac:dyDescent="0.25">
      <c r="A169" s="2" t="s">
        <v>176</v>
      </c>
      <c r="B169" s="2" t="s">
        <v>575</v>
      </c>
      <c r="C169" s="2" t="s">
        <v>576</v>
      </c>
      <c r="D169" s="3">
        <v>1782</v>
      </c>
      <c r="E169" s="2" t="s">
        <v>116</v>
      </c>
      <c r="F169" s="3">
        <v>0</v>
      </c>
      <c r="G169" s="2" t="s">
        <v>116</v>
      </c>
      <c r="H169" s="2" t="s">
        <v>271</v>
      </c>
      <c r="I169" s="9" t="s">
        <v>118</v>
      </c>
    </row>
    <row r="170" spans="1:9" x14ac:dyDescent="0.25">
      <c r="A170" s="2" t="s">
        <v>176</v>
      </c>
      <c r="B170" s="2" t="s">
        <v>577</v>
      </c>
      <c r="C170" s="2" t="s">
        <v>578</v>
      </c>
      <c r="D170" s="3">
        <v>18</v>
      </c>
      <c r="E170" s="2" t="s">
        <v>116</v>
      </c>
      <c r="F170" s="3">
        <v>0</v>
      </c>
      <c r="G170" s="2" t="s">
        <v>116</v>
      </c>
      <c r="H170" s="2" t="s">
        <v>579</v>
      </c>
      <c r="I170" s="9" t="s">
        <v>118</v>
      </c>
    </row>
    <row r="171" spans="1:9" x14ac:dyDescent="0.25">
      <c r="A171" s="2" t="s">
        <v>176</v>
      </c>
      <c r="B171" s="2" t="s">
        <v>580</v>
      </c>
      <c r="C171" s="2" t="s">
        <v>581</v>
      </c>
      <c r="D171" s="3">
        <v>96</v>
      </c>
      <c r="E171" s="2" t="s">
        <v>116</v>
      </c>
      <c r="F171" s="3">
        <v>0</v>
      </c>
      <c r="G171" s="2" t="s">
        <v>116</v>
      </c>
      <c r="H171" s="2" t="s">
        <v>582</v>
      </c>
      <c r="I171" s="9" t="s">
        <v>118</v>
      </c>
    </row>
    <row r="172" spans="1:9" x14ac:dyDescent="0.25">
      <c r="A172" s="2" t="s">
        <v>176</v>
      </c>
      <c r="B172" s="2" t="s">
        <v>583</v>
      </c>
      <c r="C172" s="2" t="s">
        <v>584</v>
      </c>
      <c r="D172" s="3">
        <v>49</v>
      </c>
      <c r="E172" s="2" t="s">
        <v>118</v>
      </c>
      <c r="F172" s="3">
        <v>434</v>
      </c>
      <c r="G172" s="2" t="s">
        <v>116</v>
      </c>
      <c r="H172" s="2" t="s">
        <v>585</v>
      </c>
      <c r="I172" s="9" t="s">
        <v>118</v>
      </c>
    </row>
    <row r="173" spans="1:9" x14ac:dyDescent="0.25">
      <c r="A173" s="2" t="s">
        <v>176</v>
      </c>
      <c r="B173" s="2" t="s">
        <v>586</v>
      </c>
      <c r="C173" s="2" t="s">
        <v>587</v>
      </c>
      <c r="D173" s="3">
        <v>9</v>
      </c>
      <c r="E173" s="2" t="s">
        <v>116</v>
      </c>
      <c r="F173" s="3">
        <v>0</v>
      </c>
      <c r="G173" s="2" t="s">
        <v>116</v>
      </c>
      <c r="H173" s="2" t="s">
        <v>415</v>
      </c>
      <c r="I173" s="9" t="s">
        <v>118</v>
      </c>
    </row>
    <row r="174" spans="1:9" x14ac:dyDescent="0.25">
      <c r="A174" s="2" t="s">
        <v>176</v>
      </c>
      <c r="B174" s="2" t="s">
        <v>588</v>
      </c>
      <c r="C174" s="2" t="s">
        <v>589</v>
      </c>
      <c r="D174" s="3">
        <v>2</v>
      </c>
      <c r="E174" s="2" t="s">
        <v>116</v>
      </c>
      <c r="F174" s="3">
        <v>0</v>
      </c>
      <c r="G174" s="2" t="s">
        <v>116</v>
      </c>
      <c r="H174" s="2" t="s">
        <v>533</v>
      </c>
      <c r="I174" s="9" t="s">
        <v>118</v>
      </c>
    </row>
    <row r="175" spans="1:9" x14ac:dyDescent="0.25">
      <c r="A175" s="2" t="s">
        <v>176</v>
      </c>
      <c r="B175" s="2" t="s">
        <v>590</v>
      </c>
      <c r="C175" s="2" t="s">
        <v>591</v>
      </c>
      <c r="D175" s="3">
        <v>53</v>
      </c>
      <c r="E175" s="2" t="s">
        <v>116</v>
      </c>
      <c r="F175" s="3">
        <v>0</v>
      </c>
      <c r="G175" s="2" t="s">
        <v>116</v>
      </c>
      <c r="H175" s="2" t="s">
        <v>478</v>
      </c>
      <c r="I175" s="9" t="s">
        <v>118</v>
      </c>
    </row>
    <row r="176" spans="1:9" x14ac:dyDescent="0.25">
      <c r="A176" s="2" t="s">
        <v>176</v>
      </c>
      <c r="B176" s="2" t="s">
        <v>592</v>
      </c>
      <c r="C176" s="2" t="s">
        <v>593</v>
      </c>
      <c r="D176" s="3">
        <v>1288</v>
      </c>
      <c r="E176" s="2" t="s">
        <v>116</v>
      </c>
      <c r="F176" s="3">
        <v>0</v>
      </c>
      <c r="G176" s="2" t="s">
        <v>116</v>
      </c>
      <c r="H176" s="2" t="s">
        <v>287</v>
      </c>
      <c r="I176" s="9" t="s">
        <v>118</v>
      </c>
    </row>
    <row r="177" spans="1:9" x14ac:dyDescent="0.25">
      <c r="A177" s="2" t="s">
        <v>176</v>
      </c>
      <c r="B177" s="2" t="s">
        <v>594</v>
      </c>
      <c r="C177" s="2" t="s">
        <v>595</v>
      </c>
      <c r="D177" s="3">
        <v>3</v>
      </c>
      <c r="E177" s="2" t="s">
        <v>116</v>
      </c>
      <c r="F177" s="3">
        <v>0</v>
      </c>
      <c r="G177" s="2" t="s">
        <v>116</v>
      </c>
      <c r="H177" s="2" t="s">
        <v>596</v>
      </c>
      <c r="I177" s="9" t="s">
        <v>118</v>
      </c>
    </row>
    <row r="178" spans="1:9" x14ac:dyDescent="0.25">
      <c r="A178" s="2" t="s">
        <v>176</v>
      </c>
      <c r="B178" s="2" t="s">
        <v>597</v>
      </c>
      <c r="C178" s="2" t="s">
        <v>598</v>
      </c>
      <c r="D178" s="3">
        <v>38</v>
      </c>
      <c r="E178" s="2" t="s">
        <v>116</v>
      </c>
      <c r="F178" s="3">
        <v>0</v>
      </c>
      <c r="G178" s="2" t="s">
        <v>116</v>
      </c>
      <c r="H178" s="2" t="s">
        <v>599</v>
      </c>
      <c r="I178" s="9" t="s">
        <v>118</v>
      </c>
    </row>
    <row r="179" spans="1:9" x14ac:dyDescent="0.25">
      <c r="A179" s="2" t="s">
        <v>176</v>
      </c>
      <c r="B179" s="2" t="s">
        <v>600</v>
      </c>
      <c r="C179" s="2" t="s">
        <v>601</v>
      </c>
      <c r="D179" s="3">
        <v>2</v>
      </c>
      <c r="E179" s="2" t="s">
        <v>116</v>
      </c>
      <c r="F179" s="3">
        <v>0</v>
      </c>
      <c r="G179" s="2" t="s">
        <v>116</v>
      </c>
      <c r="H179" s="2" t="s">
        <v>602</v>
      </c>
      <c r="I179" s="9" t="s">
        <v>118</v>
      </c>
    </row>
    <row r="180" spans="1:9" x14ac:dyDescent="0.25">
      <c r="A180" s="2" t="s">
        <v>176</v>
      </c>
      <c r="B180" s="2" t="s">
        <v>603</v>
      </c>
      <c r="C180" s="2" t="s">
        <v>604</v>
      </c>
      <c r="D180" s="3">
        <v>218</v>
      </c>
      <c r="E180" s="2" t="s">
        <v>116</v>
      </c>
      <c r="F180" s="3">
        <v>0</v>
      </c>
      <c r="G180" s="2" t="s">
        <v>116</v>
      </c>
      <c r="H180" s="2" t="s">
        <v>605</v>
      </c>
      <c r="I180" s="9" t="s">
        <v>118</v>
      </c>
    </row>
    <row r="181" spans="1:9" x14ac:dyDescent="0.25">
      <c r="A181" s="2" t="s">
        <v>176</v>
      </c>
      <c r="B181" s="2" t="s">
        <v>606</v>
      </c>
      <c r="C181" s="2" t="s">
        <v>607</v>
      </c>
      <c r="D181" s="3">
        <v>1842</v>
      </c>
      <c r="E181" s="2" t="s">
        <v>116</v>
      </c>
      <c r="F181" s="3">
        <v>0</v>
      </c>
      <c r="G181" s="2" t="s">
        <v>116</v>
      </c>
      <c r="H181" s="2" t="s">
        <v>608</v>
      </c>
      <c r="I181" s="9" t="s">
        <v>118</v>
      </c>
    </row>
    <row r="182" spans="1:9" x14ac:dyDescent="0.25">
      <c r="A182" s="2" t="s">
        <v>176</v>
      </c>
      <c r="B182" s="2" t="s">
        <v>609</v>
      </c>
      <c r="C182" s="2" t="s">
        <v>610</v>
      </c>
      <c r="D182" s="3">
        <v>570</v>
      </c>
      <c r="E182" s="2" t="s">
        <v>116</v>
      </c>
      <c r="F182" s="3">
        <v>0</v>
      </c>
      <c r="G182" s="2" t="s">
        <v>116</v>
      </c>
      <c r="H182" s="2" t="s">
        <v>553</v>
      </c>
      <c r="I182" s="9" t="s">
        <v>118</v>
      </c>
    </row>
    <row r="183" spans="1:9" x14ac:dyDescent="0.25">
      <c r="A183" s="2" t="s">
        <v>176</v>
      </c>
      <c r="B183" s="2" t="s">
        <v>611</v>
      </c>
      <c r="C183" s="2" t="s">
        <v>612</v>
      </c>
      <c r="D183" s="3">
        <v>1933</v>
      </c>
      <c r="E183" s="2" t="s">
        <v>116</v>
      </c>
      <c r="F183" s="3">
        <v>0</v>
      </c>
      <c r="G183" s="2" t="s">
        <v>116</v>
      </c>
      <c r="H183" s="2" t="s">
        <v>287</v>
      </c>
      <c r="I183" s="9" t="s">
        <v>118</v>
      </c>
    </row>
    <row r="184" spans="1:9" x14ac:dyDescent="0.25">
      <c r="A184" s="2" t="s">
        <v>176</v>
      </c>
      <c r="B184" s="2" t="s">
        <v>613</v>
      </c>
      <c r="C184" s="2" t="s">
        <v>614</v>
      </c>
      <c r="D184" s="3">
        <v>184</v>
      </c>
      <c r="E184" s="2" t="s">
        <v>116</v>
      </c>
      <c r="F184" s="3">
        <v>0</v>
      </c>
      <c r="G184" s="2" t="s">
        <v>116</v>
      </c>
      <c r="H184" s="2" t="s">
        <v>605</v>
      </c>
      <c r="I184" s="9" t="s">
        <v>118</v>
      </c>
    </row>
    <row r="185" spans="1:9" x14ac:dyDescent="0.25">
      <c r="A185" s="2" t="s">
        <v>176</v>
      </c>
      <c r="B185" s="2" t="s">
        <v>615</v>
      </c>
      <c r="C185" s="2" t="s">
        <v>616</v>
      </c>
      <c r="D185" s="3">
        <v>365</v>
      </c>
      <c r="E185" s="2" t="s">
        <v>116</v>
      </c>
      <c r="F185" s="3">
        <v>0</v>
      </c>
      <c r="G185" s="2" t="s">
        <v>116</v>
      </c>
      <c r="H185" s="2" t="s">
        <v>274</v>
      </c>
      <c r="I185" s="9" t="s">
        <v>118</v>
      </c>
    </row>
    <row r="186" spans="1:9" x14ac:dyDescent="0.25">
      <c r="A186" s="2" t="s">
        <v>176</v>
      </c>
      <c r="B186" s="2" t="s">
        <v>617</v>
      </c>
      <c r="C186" s="2" t="s">
        <v>618</v>
      </c>
      <c r="D186" s="3">
        <v>16</v>
      </c>
      <c r="E186" s="2" t="s">
        <v>118</v>
      </c>
      <c r="F186" s="3">
        <v>667</v>
      </c>
      <c r="G186" s="2" t="s">
        <v>116</v>
      </c>
      <c r="H186" s="2" t="s">
        <v>418</v>
      </c>
      <c r="I186" s="9" t="s">
        <v>118</v>
      </c>
    </row>
    <row r="187" spans="1:9" x14ac:dyDescent="0.25">
      <c r="A187" s="2" t="s">
        <v>176</v>
      </c>
      <c r="B187" s="2" t="s">
        <v>619</v>
      </c>
      <c r="C187" s="2" t="s">
        <v>620</v>
      </c>
      <c r="D187" s="3">
        <v>20</v>
      </c>
      <c r="E187" s="2" t="s">
        <v>118</v>
      </c>
      <c r="F187" s="3">
        <v>396</v>
      </c>
      <c r="G187" s="2" t="s">
        <v>116</v>
      </c>
      <c r="H187" s="2" t="s">
        <v>415</v>
      </c>
      <c r="I187" s="9" t="s">
        <v>118</v>
      </c>
    </row>
    <row r="188" spans="1:9" x14ac:dyDescent="0.25">
      <c r="A188" s="2" t="s">
        <v>176</v>
      </c>
      <c r="B188" s="2" t="s">
        <v>621</v>
      </c>
      <c r="C188" s="2" t="s">
        <v>622</v>
      </c>
      <c r="D188" s="3">
        <v>3</v>
      </c>
      <c r="E188" s="2" t="s">
        <v>118</v>
      </c>
      <c r="F188" s="3">
        <v>603</v>
      </c>
      <c r="G188" s="2" t="s">
        <v>116</v>
      </c>
      <c r="H188" s="2" t="s">
        <v>533</v>
      </c>
      <c r="I188" s="9" t="s">
        <v>118</v>
      </c>
    </row>
    <row r="189" spans="1:9" x14ac:dyDescent="0.25">
      <c r="A189" s="2" t="s">
        <v>176</v>
      </c>
      <c r="B189" s="2" t="s">
        <v>623</v>
      </c>
      <c r="C189" s="2" t="s">
        <v>624</v>
      </c>
      <c r="D189" s="3">
        <v>21</v>
      </c>
      <c r="E189" s="2" t="s">
        <v>118</v>
      </c>
      <c r="F189" s="3">
        <v>282</v>
      </c>
      <c r="G189" s="2" t="s">
        <v>116</v>
      </c>
      <c r="H189" s="2" t="s">
        <v>490</v>
      </c>
      <c r="I189" s="9" t="s">
        <v>118</v>
      </c>
    </row>
    <row r="190" spans="1:9" x14ac:dyDescent="0.25">
      <c r="A190" s="2" t="s">
        <v>176</v>
      </c>
      <c r="B190" s="2" t="s">
        <v>625</v>
      </c>
      <c r="C190" s="2" t="s">
        <v>626</v>
      </c>
      <c r="D190" s="3">
        <v>10</v>
      </c>
      <c r="E190" s="2" t="s">
        <v>116</v>
      </c>
      <c r="F190" s="3">
        <v>0</v>
      </c>
      <c r="G190" s="2" t="s">
        <v>116</v>
      </c>
      <c r="H190" s="2" t="s">
        <v>444</v>
      </c>
      <c r="I190" s="9" t="s">
        <v>118</v>
      </c>
    </row>
    <row r="191" spans="1:9" x14ac:dyDescent="0.25">
      <c r="A191" s="2" t="s">
        <v>176</v>
      </c>
      <c r="B191" s="2" t="s">
        <v>627</v>
      </c>
      <c r="C191" s="2" t="s">
        <v>628</v>
      </c>
      <c r="D191" s="3">
        <v>48</v>
      </c>
      <c r="E191" s="2" t="s">
        <v>118</v>
      </c>
      <c r="F191" s="3">
        <v>444</v>
      </c>
      <c r="G191" s="2" t="s">
        <v>116</v>
      </c>
      <c r="H191" s="2" t="s">
        <v>478</v>
      </c>
      <c r="I191" s="9" t="s">
        <v>118</v>
      </c>
    </row>
    <row r="192" spans="1:9" x14ac:dyDescent="0.25">
      <c r="A192" s="2" t="s">
        <v>629</v>
      </c>
      <c r="B192" s="2" t="s">
        <v>630</v>
      </c>
      <c r="C192" s="2" t="s">
        <v>631</v>
      </c>
      <c r="D192" s="3">
        <v>18</v>
      </c>
      <c r="E192" s="2" t="s">
        <v>116</v>
      </c>
      <c r="F192" s="3">
        <v>0</v>
      </c>
      <c r="G192" s="2" t="s">
        <v>116</v>
      </c>
      <c r="H192" s="2" t="s">
        <v>632</v>
      </c>
      <c r="I192" s="9" t="s">
        <v>118</v>
      </c>
    </row>
    <row r="193" spans="1:9" x14ac:dyDescent="0.25">
      <c r="A193" s="2" t="s">
        <v>629</v>
      </c>
      <c r="B193" s="2" t="s">
        <v>633</v>
      </c>
      <c r="C193" s="2" t="s">
        <v>634</v>
      </c>
      <c r="D193" s="3">
        <v>278</v>
      </c>
      <c r="E193" s="2" t="s">
        <v>116</v>
      </c>
      <c r="F193" s="3">
        <v>0</v>
      </c>
      <c r="G193" s="2" t="s">
        <v>116</v>
      </c>
      <c r="H193" s="2" t="s">
        <v>635</v>
      </c>
      <c r="I193" s="9" t="s">
        <v>118</v>
      </c>
    </row>
    <row r="194" spans="1:9" x14ac:dyDescent="0.25">
      <c r="A194" s="2" t="s">
        <v>629</v>
      </c>
      <c r="B194" s="2" t="s">
        <v>636</v>
      </c>
      <c r="C194" s="2" t="s">
        <v>637</v>
      </c>
      <c r="D194" s="3">
        <v>55</v>
      </c>
      <c r="E194" s="2" t="s">
        <v>116</v>
      </c>
      <c r="F194" s="3">
        <v>0</v>
      </c>
      <c r="G194" s="2" t="s">
        <v>116</v>
      </c>
      <c r="H194" s="2" t="s">
        <v>638</v>
      </c>
      <c r="I194" s="9" t="s">
        <v>118</v>
      </c>
    </row>
    <row r="195" spans="1:9" x14ac:dyDescent="0.25">
      <c r="A195" s="2" t="s">
        <v>629</v>
      </c>
      <c r="B195" s="2" t="s">
        <v>639</v>
      </c>
      <c r="C195" s="2" t="s">
        <v>640</v>
      </c>
      <c r="D195" s="3">
        <v>187</v>
      </c>
      <c r="E195" s="2" t="s">
        <v>116</v>
      </c>
      <c r="F195" s="3">
        <v>0</v>
      </c>
      <c r="G195" s="2" t="s">
        <v>116</v>
      </c>
      <c r="H195" s="2" t="s">
        <v>641</v>
      </c>
      <c r="I195" s="9" t="s">
        <v>118</v>
      </c>
    </row>
    <row r="196" spans="1:9" x14ac:dyDescent="0.25">
      <c r="A196" s="2" t="s">
        <v>629</v>
      </c>
      <c r="B196" s="2" t="s">
        <v>642</v>
      </c>
      <c r="C196" s="2" t="s">
        <v>643</v>
      </c>
      <c r="D196" s="3">
        <v>29</v>
      </c>
      <c r="E196" s="2" t="s">
        <v>118</v>
      </c>
      <c r="F196" s="3">
        <v>526</v>
      </c>
      <c r="G196" s="2" t="s">
        <v>116</v>
      </c>
      <c r="H196" s="2" t="s">
        <v>644</v>
      </c>
      <c r="I196" s="9" t="s">
        <v>118</v>
      </c>
    </row>
    <row r="197" spans="1:9" x14ac:dyDescent="0.25">
      <c r="A197" s="2" t="s">
        <v>629</v>
      </c>
      <c r="B197" s="2" t="s">
        <v>645</v>
      </c>
      <c r="C197" s="2" t="s">
        <v>646</v>
      </c>
      <c r="D197" s="3">
        <v>12</v>
      </c>
      <c r="E197" s="2" t="s">
        <v>118</v>
      </c>
      <c r="F197" s="3">
        <v>354</v>
      </c>
      <c r="G197" s="2" t="s">
        <v>116</v>
      </c>
      <c r="H197" s="2" t="s">
        <v>647</v>
      </c>
      <c r="I197" s="9" t="s">
        <v>118</v>
      </c>
    </row>
    <row r="198" spans="1:9" x14ac:dyDescent="0.25">
      <c r="A198" s="2" t="s">
        <v>629</v>
      </c>
      <c r="B198" s="2" t="s">
        <v>648</v>
      </c>
      <c r="C198" s="2" t="s">
        <v>649</v>
      </c>
      <c r="D198" s="3">
        <v>18</v>
      </c>
      <c r="E198" s="2" t="s">
        <v>116</v>
      </c>
      <c r="F198" s="3">
        <v>0</v>
      </c>
      <c r="G198" s="2" t="s">
        <v>116</v>
      </c>
      <c r="H198" s="2" t="s">
        <v>650</v>
      </c>
      <c r="I198" s="9" t="s">
        <v>118</v>
      </c>
    </row>
    <row r="199" spans="1:9" x14ac:dyDescent="0.25">
      <c r="A199" s="2" t="s">
        <v>629</v>
      </c>
      <c r="B199" s="2" t="s">
        <v>651</v>
      </c>
      <c r="C199" s="2" t="s">
        <v>652</v>
      </c>
      <c r="D199" s="3">
        <v>5619</v>
      </c>
      <c r="E199" s="2" t="s">
        <v>116</v>
      </c>
      <c r="F199" s="3">
        <v>0</v>
      </c>
      <c r="G199" s="2" t="s">
        <v>116</v>
      </c>
      <c r="H199" s="2" t="s">
        <v>653</v>
      </c>
      <c r="I199" s="9" t="s">
        <v>118</v>
      </c>
    </row>
    <row r="200" spans="1:9" x14ac:dyDescent="0.25">
      <c r="A200" s="2" t="s">
        <v>629</v>
      </c>
      <c r="B200" s="2" t="s">
        <v>654</v>
      </c>
      <c r="C200" s="2" t="s">
        <v>655</v>
      </c>
      <c r="D200" s="3">
        <v>0</v>
      </c>
      <c r="E200" s="2" t="s">
        <v>116</v>
      </c>
      <c r="F200" s="3">
        <v>0</v>
      </c>
      <c r="G200" s="2" t="s">
        <v>116</v>
      </c>
      <c r="H200" s="2" t="s">
        <v>656</v>
      </c>
      <c r="I200" s="9" t="s">
        <v>118</v>
      </c>
    </row>
    <row r="201" spans="1:9" x14ac:dyDescent="0.25">
      <c r="A201" s="2" t="s">
        <v>629</v>
      </c>
      <c r="B201" s="2" t="s">
        <v>657</v>
      </c>
      <c r="C201" s="2" t="s">
        <v>658</v>
      </c>
      <c r="D201" s="3">
        <v>70</v>
      </c>
      <c r="E201" s="2" t="s">
        <v>116</v>
      </c>
      <c r="F201" s="3">
        <v>0</v>
      </c>
      <c r="G201" s="2" t="s">
        <v>116</v>
      </c>
      <c r="H201" s="2" t="s">
        <v>659</v>
      </c>
      <c r="I201" s="9" t="s">
        <v>118</v>
      </c>
    </row>
    <row r="202" spans="1:9" x14ac:dyDescent="0.25">
      <c r="A202" s="2" t="s">
        <v>629</v>
      </c>
      <c r="B202" s="2" t="s">
        <v>660</v>
      </c>
      <c r="C202" s="2" t="s">
        <v>661</v>
      </c>
      <c r="D202" s="3">
        <v>141</v>
      </c>
      <c r="E202" s="2" t="s">
        <v>116</v>
      </c>
      <c r="F202" s="3">
        <v>0</v>
      </c>
      <c r="G202" s="2" t="s">
        <v>116</v>
      </c>
      <c r="H202" s="2" t="s">
        <v>662</v>
      </c>
      <c r="I202" s="9" t="s">
        <v>118</v>
      </c>
    </row>
    <row r="203" spans="1:9" x14ac:dyDescent="0.25">
      <c r="A203" s="2" t="s">
        <v>629</v>
      </c>
      <c r="B203" s="2" t="s">
        <v>663</v>
      </c>
      <c r="C203" s="2" t="s">
        <v>664</v>
      </c>
      <c r="D203" s="3">
        <v>4</v>
      </c>
      <c r="E203" s="2" t="s">
        <v>116</v>
      </c>
      <c r="F203" s="3">
        <v>0</v>
      </c>
      <c r="G203" s="2" t="s">
        <v>116</v>
      </c>
      <c r="H203" s="2" t="s">
        <v>665</v>
      </c>
      <c r="I203" s="9" t="s">
        <v>118</v>
      </c>
    </row>
    <row r="204" spans="1:9" x14ac:dyDescent="0.25">
      <c r="A204" s="2" t="s">
        <v>629</v>
      </c>
      <c r="B204" s="2" t="s">
        <v>666</v>
      </c>
      <c r="C204" s="2" t="s">
        <v>667</v>
      </c>
      <c r="D204" s="3">
        <v>213</v>
      </c>
      <c r="E204" s="2" t="s">
        <v>116</v>
      </c>
      <c r="F204" s="3">
        <v>0</v>
      </c>
      <c r="G204" s="2" t="s">
        <v>116</v>
      </c>
      <c r="H204" s="2" t="s">
        <v>668</v>
      </c>
      <c r="I204" s="9" t="s">
        <v>118</v>
      </c>
    </row>
    <row r="205" spans="1:9" x14ac:dyDescent="0.25">
      <c r="A205" s="2" t="s">
        <v>629</v>
      </c>
      <c r="B205" s="2" t="s">
        <v>669</v>
      </c>
      <c r="C205" s="2" t="s">
        <v>670</v>
      </c>
      <c r="D205" s="3">
        <v>21</v>
      </c>
      <c r="E205" s="2" t="s">
        <v>116</v>
      </c>
      <c r="F205" s="3">
        <v>0</v>
      </c>
      <c r="G205" s="2" t="s">
        <v>116</v>
      </c>
      <c r="H205" s="2" t="s">
        <v>671</v>
      </c>
      <c r="I205" s="9" t="s">
        <v>118</v>
      </c>
    </row>
    <row r="206" spans="1:9" x14ac:dyDescent="0.25">
      <c r="A206" s="2" t="s">
        <v>629</v>
      </c>
      <c r="B206" s="2" t="s">
        <v>672</v>
      </c>
      <c r="C206" s="2" t="s">
        <v>673</v>
      </c>
      <c r="D206" s="3">
        <v>100</v>
      </c>
      <c r="E206" s="2" t="s">
        <v>116</v>
      </c>
      <c r="F206" s="3">
        <v>0</v>
      </c>
      <c r="G206" s="2" t="s">
        <v>116</v>
      </c>
      <c r="H206" s="2" t="s">
        <v>674</v>
      </c>
      <c r="I206" s="9" t="s">
        <v>118</v>
      </c>
    </row>
    <row r="207" spans="1:9" x14ac:dyDescent="0.25">
      <c r="A207" s="2" t="s">
        <v>629</v>
      </c>
      <c r="B207" s="2" t="s">
        <v>675</v>
      </c>
      <c r="C207" s="2" t="s">
        <v>676</v>
      </c>
      <c r="D207" s="3">
        <v>35</v>
      </c>
      <c r="E207" s="2" t="s">
        <v>116</v>
      </c>
      <c r="F207" s="3">
        <v>0</v>
      </c>
      <c r="G207" s="2" t="s">
        <v>116</v>
      </c>
      <c r="H207" s="2" t="s">
        <v>677</v>
      </c>
      <c r="I207" s="9" t="s">
        <v>118</v>
      </c>
    </row>
    <row r="208" spans="1:9" x14ac:dyDescent="0.25">
      <c r="A208" s="2" t="s">
        <v>629</v>
      </c>
      <c r="B208" s="2" t="s">
        <v>678</v>
      </c>
      <c r="C208" s="2" t="s">
        <v>679</v>
      </c>
      <c r="D208" s="3">
        <v>58</v>
      </c>
      <c r="E208" s="2" t="s">
        <v>116</v>
      </c>
      <c r="F208" s="3">
        <v>0</v>
      </c>
      <c r="G208" s="2" t="s">
        <v>116</v>
      </c>
      <c r="H208" s="2" t="s">
        <v>680</v>
      </c>
      <c r="I208" s="9" t="s">
        <v>118</v>
      </c>
    </row>
    <row r="209" spans="1:9" x14ac:dyDescent="0.25">
      <c r="A209" s="2" t="s">
        <v>629</v>
      </c>
      <c r="B209" s="2" t="s">
        <v>681</v>
      </c>
      <c r="C209" s="2" t="s">
        <v>682</v>
      </c>
      <c r="D209" s="3">
        <v>218</v>
      </c>
      <c r="E209" s="2" t="s">
        <v>116</v>
      </c>
      <c r="F209" s="3">
        <v>0</v>
      </c>
      <c r="G209" s="2" t="s">
        <v>116</v>
      </c>
      <c r="H209" s="2" t="s">
        <v>683</v>
      </c>
      <c r="I209" s="9" t="s">
        <v>118</v>
      </c>
    </row>
    <row r="210" spans="1:9" x14ac:dyDescent="0.25">
      <c r="A210" s="2" t="s">
        <v>629</v>
      </c>
      <c r="B210" s="2" t="s">
        <v>684</v>
      </c>
      <c r="C210" s="2" t="s">
        <v>685</v>
      </c>
      <c r="D210" s="3">
        <v>17</v>
      </c>
      <c r="E210" s="2" t="s">
        <v>118</v>
      </c>
      <c r="F210" s="3">
        <v>270</v>
      </c>
      <c r="G210" s="2" t="s">
        <v>116</v>
      </c>
      <c r="H210" s="2" t="s">
        <v>686</v>
      </c>
      <c r="I210" s="9" t="s">
        <v>118</v>
      </c>
    </row>
    <row r="211" spans="1:9" x14ac:dyDescent="0.25">
      <c r="A211" s="2" t="s">
        <v>629</v>
      </c>
      <c r="B211" s="2" t="s">
        <v>687</v>
      </c>
      <c r="C211" s="2" t="s">
        <v>688</v>
      </c>
      <c r="D211" s="3">
        <v>5</v>
      </c>
      <c r="E211" s="2" t="s">
        <v>118</v>
      </c>
      <c r="F211" s="3">
        <v>669</v>
      </c>
      <c r="G211" s="2" t="s">
        <v>116</v>
      </c>
      <c r="H211" s="2" t="s">
        <v>689</v>
      </c>
      <c r="I211" s="9" t="s">
        <v>118</v>
      </c>
    </row>
    <row r="212" spans="1:9" x14ac:dyDescent="0.25">
      <c r="A212" s="2" t="s">
        <v>629</v>
      </c>
      <c r="B212" s="2" t="s">
        <v>690</v>
      </c>
      <c r="C212" s="2" t="s">
        <v>691</v>
      </c>
      <c r="D212" s="3">
        <v>104</v>
      </c>
      <c r="E212" s="2" t="s">
        <v>116</v>
      </c>
      <c r="F212" s="3">
        <v>0</v>
      </c>
      <c r="G212" s="2" t="s">
        <v>116</v>
      </c>
      <c r="H212" s="2" t="s">
        <v>692</v>
      </c>
      <c r="I212" s="9" t="s">
        <v>118</v>
      </c>
    </row>
    <row r="213" spans="1:9" x14ac:dyDescent="0.25">
      <c r="A213" s="2" t="s">
        <v>629</v>
      </c>
      <c r="B213" s="2" t="s">
        <v>693</v>
      </c>
      <c r="C213" s="2" t="s">
        <v>694</v>
      </c>
      <c r="D213" s="3">
        <v>101</v>
      </c>
      <c r="E213" s="2" t="s">
        <v>116</v>
      </c>
      <c r="F213" s="3">
        <v>0</v>
      </c>
      <c r="G213" s="2" t="s">
        <v>116</v>
      </c>
      <c r="H213" s="2" t="s">
        <v>695</v>
      </c>
      <c r="I213" s="9" t="s">
        <v>118</v>
      </c>
    </row>
    <row r="214" spans="1:9" x14ac:dyDescent="0.25">
      <c r="A214" s="2" t="s">
        <v>629</v>
      </c>
      <c r="B214" s="2" t="s">
        <v>696</v>
      </c>
      <c r="C214" s="2" t="s">
        <v>697</v>
      </c>
      <c r="D214" s="3">
        <v>69</v>
      </c>
      <c r="E214" s="2" t="s">
        <v>118</v>
      </c>
      <c r="F214" s="3">
        <v>357</v>
      </c>
      <c r="G214" s="2" t="s">
        <v>116</v>
      </c>
      <c r="H214" s="2" t="s">
        <v>698</v>
      </c>
      <c r="I214" s="9" t="s">
        <v>118</v>
      </c>
    </row>
    <row r="215" spans="1:9" x14ac:dyDescent="0.25">
      <c r="A215" s="2" t="s">
        <v>629</v>
      </c>
      <c r="B215" s="2" t="s">
        <v>699</v>
      </c>
      <c r="C215" s="2" t="s">
        <v>700</v>
      </c>
      <c r="D215" s="3">
        <v>31</v>
      </c>
      <c r="E215" s="2" t="s">
        <v>116</v>
      </c>
      <c r="F215" s="3">
        <v>0</v>
      </c>
      <c r="G215" s="2" t="s">
        <v>116</v>
      </c>
      <c r="H215" s="2" t="s">
        <v>701</v>
      </c>
      <c r="I215" s="9" t="s">
        <v>118</v>
      </c>
    </row>
    <row r="216" spans="1:9" x14ac:dyDescent="0.25">
      <c r="A216" s="2" t="s">
        <v>629</v>
      </c>
      <c r="B216" s="2" t="s">
        <v>702</v>
      </c>
      <c r="C216" s="2" t="s">
        <v>703</v>
      </c>
      <c r="D216" s="3">
        <v>58</v>
      </c>
      <c r="E216" s="2" t="s">
        <v>118</v>
      </c>
      <c r="F216" s="3">
        <v>344</v>
      </c>
      <c r="G216" s="2" t="s">
        <v>116</v>
      </c>
      <c r="H216" s="2" t="s">
        <v>704</v>
      </c>
      <c r="I216" s="9" t="s">
        <v>118</v>
      </c>
    </row>
    <row r="217" spans="1:9" x14ac:dyDescent="0.25">
      <c r="A217" s="2" t="s">
        <v>629</v>
      </c>
      <c r="B217" s="2" t="s">
        <v>705</v>
      </c>
      <c r="C217" s="2" t="s">
        <v>706</v>
      </c>
      <c r="D217" s="3">
        <v>28</v>
      </c>
      <c r="E217" s="2" t="s">
        <v>116</v>
      </c>
      <c r="F217" s="3">
        <v>0</v>
      </c>
      <c r="G217" s="2" t="s">
        <v>116</v>
      </c>
      <c r="H217" s="2" t="s">
        <v>707</v>
      </c>
      <c r="I217" s="9" t="s">
        <v>118</v>
      </c>
    </row>
    <row r="218" spans="1:9" x14ac:dyDescent="0.25">
      <c r="A218" s="2" t="s">
        <v>629</v>
      </c>
      <c r="B218" s="2" t="s">
        <v>708</v>
      </c>
      <c r="C218" s="2" t="s">
        <v>709</v>
      </c>
      <c r="D218" s="3">
        <v>119</v>
      </c>
      <c r="E218" s="2" t="s">
        <v>116</v>
      </c>
      <c r="F218" s="3">
        <v>0</v>
      </c>
      <c r="G218" s="2" t="s">
        <v>116</v>
      </c>
      <c r="H218" s="2" t="s">
        <v>710</v>
      </c>
      <c r="I218" s="9" t="s">
        <v>118</v>
      </c>
    </row>
    <row r="219" spans="1:9" x14ac:dyDescent="0.25">
      <c r="A219" s="2" t="s">
        <v>629</v>
      </c>
      <c r="B219" s="2" t="s">
        <v>711</v>
      </c>
      <c r="C219" s="2" t="s">
        <v>712</v>
      </c>
      <c r="D219" s="3">
        <v>29</v>
      </c>
      <c r="E219" s="2" t="s">
        <v>116</v>
      </c>
      <c r="F219" s="3">
        <v>0</v>
      </c>
      <c r="G219" s="2" t="s">
        <v>118</v>
      </c>
      <c r="H219" s="2" t="s">
        <v>713</v>
      </c>
      <c r="I219" s="9" t="s">
        <v>118</v>
      </c>
    </row>
    <row r="220" spans="1:9" x14ac:dyDescent="0.25">
      <c r="A220" s="2" t="s">
        <v>629</v>
      </c>
      <c r="B220" s="2" t="s">
        <v>714</v>
      </c>
      <c r="C220" s="2" t="s">
        <v>715</v>
      </c>
      <c r="D220" s="3">
        <v>116</v>
      </c>
      <c r="E220" s="2" t="s">
        <v>116</v>
      </c>
      <c r="F220" s="3">
        <v>0</v>
      </c>
      <c r="G220" s="2" t="s">
        <v>116</v>
      </c>
      <c r="H220" s="2" t="s">
        <v>716</v>
      </c>
      <c r="I220" s="9" t="s">
        <v>118</v>
      </c>
    </row>
    <row r="221" spans="1:9" x14ac:dyDescent="0.25">
      <c r="A221" s="2" t="s">
        <v>629</v>
      </c>
      <c r="B221" s="2" t="s">
        <v>717</v>
      </c>
      <c r="C221" s="2" t="s">
        <v>718</v>
      </c>
      <c r="D221" s="3">
        <v>203</v>
      </c>
      <c r="E221" s="2" t="s">
        <v>116</v>
      </c>
      <c r="F221" s="3">
        <v>0</v>
      </c>
      <c r="G221" s="2" t="s">
        <v>118</v>
      </c>
      <c r="H221" s="2" t="s">
        <v>719</v>
      </c>
      <c r="I221" s="9" t="s">
        <v>118</v>
      </c>
    </row>
    <row r="222" spans="1:9" x14ac:dyDescent="0.25">
      <c r="A222" s="2" t="s">
        <v>629</v>
      </c>
      <c r="B222" s="2" t="s">
        <v>720</v>
      </c>
      <c r="C222" s="2" t="s">
        <v>721</v>
      </c>
      <c r="D222" s="3">
        <v>19</v>
      </c>
      <c r="E222" s="2" t="s">
        <v>116</v>
      </c>
      <c r="F222" s="3">
        <v>0</v>
      </c>
      <c r="G222" s="2" t="s">
        <v>116</v>
      </c>
      <c r="H222" s="2" t="s">
        <v>722</v>
      </c>
      <c r="I222" s="9" t="s">
        <v>118</v>
      </c>
    </row>
    <row r="223" spans="1:9" x14ac:dyDescent="0.25">
      <c r="A223" s="2" t="s">
        <v>629</v>
      </c>
      <c r="B223" s="2" t="s">
        <v>723</v>
      </c>
      <c r="C223" s="2" t="s">
        <v>724</v>
      </c>
      <c r="D223" s="3">
        <v>115</v>
      </c>
      <c r="E223" s="2" t="s">
        <v>116</v>
      </c>
      <c r="F223" s="3">
        <v>0</v>
      </c>
      <c r="G223" s="2" t="s">
        <v>116</v>
      </c>
      <c r="H223" s="2" t="s">
        <v>725</v>
      </c>
      <c r="I223" s="9" t="s">
        <v>118</v>
      </c>
    </row>
    <row r="224" spans="1:9" x14ac:dyDescent="0.25">
      <c r="A224" s="2" t="s">
        <v>629</v>
      </c>
      <c r="B224" s="2" t="s">
        <v>726</v>
      </c>
      <c r="C224" s="2" t="s">
        <v>727</v>
      </c>
      <c r="D224" s="3">
        <v>0</v>
      </c>
      <c r="E224" s="2" t="s">
        <v>116</v>
      </c>
      <c r="F224" s="3">
        <v>0</v>
      </c>
      <c r="G224" s="2" t="s">
        <v>116</v>
      </c>
      <c r="H224" s="2" t="s">
        <v>728</v>
      </c>
      <c r="I224" s="9" t="s">
        <v>118</v>
      </c>
    </row>
    <row r="225" spans="1:9" x14ac:dyDescent="0.25">
      <c r="A225" s="2" t="s">
        <v>629</v>
      </c>
      <c r="B225" s="2" t="s">
        <v>729</v>
      </c>
      <c r="C225" s="2" t="s">
        <v>730</v>
      </c>
      <c r="D225" s="3">
        <v>429</v>
      </c>
      <c r="E225" s="2" t="s">
        <v>118</v>
      </c>
      <c r="F225" s="3">
        <v>413</v>
      </c>
      <c r="G225" s="2" t="s">
        <v>116</v>
      </c>
      <c r="H225" s="2" t="s">
        <v>731</v>
      </c>
      <c r="I225" s="9" t="s">
        <v>118</v>
      </c>
    </row>
    <row r="226" spans="1:9" x14ac:dyDescent="0.25">
      <c r="A226" s="2" t="s">
        <v>629</v>
      </c>
      <c r="B226" s="2" t="s">
        <v>732</v>
      </c>
      <c r="C226" s="2" t="s">
        <v>733</v>
      </c>
      <c r="D226" s="3">
        <v>398</v>
      </c>
      <c r="E226" s="2" t="s">
        <v>116</v>
      </c>
      <c r="F226" s="3">
        <v>0</v>
      </c>
      <c r="G226" s="2" t="s">
        <v>116</v>
      </c>
      <c r="H226" s="2" t="s">
        <v>734</v>
      </c>
      <c r="I226" s="9" t="s">
        <v>118</v>
      </c>
    </row>
    <row r="227" spans="1:9" x14ac:dyDescent="0.25">
      <c r="A227" s="2" t="s">
        <v>629</v>
      </c>
      <c r="B227" s="2" t="s">
        <v>735</v>
      </c>
      <c r="C227" s="2" t="s">
        <v>736</v>
      </c>
      <c r="D227" s="3">
        <v>40</v>
      </c>
      <c r="E227" s="2" t="s">
        <v>116</v>
      </c>
      <c r="F227" s="3">
        <v>0</v>
      </c>
      <c r="G227" s="2" t="s">
        <v>116</v>
      </c>
      <c r="H227" s="2" t="s">
        <v>737</v>
      </c>
      <c r="I227" s="9" t="s">
        <v>118</v>
      </c>
    </row>
    <row r="228" spans="1:9" x14ac:dyDescent="0.25">
      <c r="A228" s="2" t="s">
        <v>629</v>
      </c>
      <c r="B228" s="2" t="s">
        <v>738</v>
      </c>
      <c r="C228" s="2" t="s">
        <v>739</v>
      </c>
      <c r="D228" s="3">
        <v>37</v>
      </c>
      <c r="E228" s="2" t="s">
        <v>116</v>
      </c>
      <c r="F228" s="3">
        <v>0</v>
      </c>
      <c r="G228" s="2" t="s">
        <v>116</v>
      </c>
      <c r="H228" s="2" t="s">
        <v>740</v>
      </c>
      <c r="I228" s="9" t="s">
        <v>118</v>
      </c>
    </row>
    <row r="229" spans="1:9" x14ac:dyDescent="0.25">
      <c r="A229" s="2" t="s">
        <v>629</v>
      </c>
      <c r="B229" s="2" t="s">
        <v>741</v>
      </c>
      <c r="C229" s="2" t="s">
        <v>742</v>
      </c>
      <c r="D229" s="3">
        <v>58</v>
      </c>
      <c r="E229" s="2" t="s">
        <v>118</v>
      </c>
      <c r="F229" s="3">
        <v>479</v>
      </c>
      <c r="G229" s="2" t="s">
        <v>116</v>
      </c>
      <c r="H229" s="2" t="s">
        <v>743</v>
      </c>
      <c r="I229" s="9" t="s">
        <v>118</v>
      </c>
    </row>
    <row r="230" spans="1:9" x14ac:dyDescent="0.25">
      <c r="A230" s="2" t="s">
        <v>629</v>
      </c>
      <c r="B230" s="2" t="s">
        <v>744</v>
      </c>
      <c r="C230" s="2" t="s">
        <v>745</v>
      </c>
      <c r="D230" s="3">
        <v>15</v>
      </c>
      <c r="E230" s="2" t="s">
        <v>116</v>
      </c>
      <c r="F230" s="3">
        <v>0</v>
      </c>
      <c r="G230" s="2" t="s">
        <v>116</v>
      </c>
      <c r="H230" s="2" t="s">
        <v>746</v>
      </c>
      <c r="I230" s="9" t="s">
        <v>118</v>
      </c>
    </row>
    <row r="231" spans="1:9" x14ac:dyDescent="0.25">
      <c r="A231" s="2" t="s">
        <v>629</v>
      </c>
      <c r="B231" s="2" t="s">
        <v>747</v>
      </c>
      <c r="C231" s="2" t="s">
        <v>748</v>
      </c>
      <c r="D231" s="3">
        <v>585</v>
      </c>
      <c r="E231" s="2" t="s">
        <v>116</v>
      </c>
      <c r="F231" s="3">
        <v>0</v>
      </c>
      <c r="G231" s="2" t="s">
        <v>116</v>
      </c>
      <c r="H231" s="2" t="s">
        <v>749</v>
      </c>
      <c r="I231" s="9" t="s">
        <v>118</v>
      </c>
    </row>
    <row r="232" spans="1:9" x14ac:dyDescent="0.25">
      <c r="A232" s="2" t="s">
        <v>629</v>
      </c>
      <c r="B232" s="2" t="s">
        <v>750</v>
      </c>
      <c r="C232" s="2" t="s">
        <v>751</v>
      </c>
      <c r="D232" s="3">
        <v>64</v>
      </c>
      <c r="E232" s="2" t="s">
        <v>118</v>
      </c>
      <c r="F232" s="3">
        <v>194</v>
      </c>
      <c r="G232" s="2" t="s">
        <v>116</v>
      </c>
      <c r="H232" s="2" t="s">
        <v>752</v>
      </c>
      <c r="I232" s="9" t="s">
        <v>118</v>
      </c>
    </row>
    <row r="233" spans="1:9" x14ac:dyDescent="0.25">
      <c r="A233" s="2" t="s">
        <v>629</v>
      </c>
      <c r="B233" s="2" t="s">
        <v>753</v>
      </c>
      <c r="C233" s="2" t="s">
        <v>754</v>
      </c>
      <c r="D233" s="3">
        <v>68</v>
      </c>
      <c r="E233" s="2" t="s">
        <v>118</v>
      </c>
      <c r="F233" s="3">
        <v>570</v>
      </c>
      <c r="G233" s="2" t="s">
        <v>116</v>
      </c>
      <c r="H233" s="2" t="s">
        <v>755</v>
      </c>
      <c r="I233" s="9" t="s">
        <v>118</v>
      </c>
    </row>
    <row r="234" spans="1:9" x14ac:dyDescent="0.25">
      <c r="A234" s="2" t="s">
        <v>629</v>
      </c>
      <c r="B234" s="2" t="s">
        <v>756</v>
      </c>
      <c r="C234" s="2" t="s">
        <v>757</v>
      </c>
      <c r="D234" s="3">
        <v>98</v>
      </c>
      <c r="E234" s="2" t="s">
        <v>116</v>
      </c>
      <c r="F234" s="3">
        <v>0</v>
      </c>
      <c r="G234" s="2" t="s">
        <v>116</v>
      </c>
      <c r="H234" s="2" t="s">
        <v>758</v>
      </c>
      <c r="I234" s="9" t="s">
        <v>118</v>
      </c>
    </row>
    <row r="235" spans="1:9" x14ac:dyDescent="0.25">
      <c r="A235" s="2" t="s">
        <v>629</v>
      </c>
      <c r="B235" s="2" t="s">
        <v>759</v>
      </c>
      <c r="C235" s="2" t="s">
        <v>760</v>
      </c>
      <c r="D235" s="3">
        <v>11</v>
      </c>
      <c r="E235" s="2" t="s">
        <v>116</v>
      </c>
      <c r="F235" s="3">
        <v>0</v>
      </c>
      <c r="G235" s="2" t="s">
        <v>116</v>
      </c>
      <c r="H235" s="2" t="s">
        <v>647</v>
      </c>
      <c r="I235" s="9" t="s">
        <v>118</v>
      </c>
    </row>
    <row r="236" spans="1:9" x14ac:dyDescent="0.25">
      <c r="A236" s="2" t="s">
        <v>629</v>
      </c>
      <c r="B236" s="2" t="s">
        <v>761</v>
      </c>
      <c r="C236" s="2" t="s">
        <v>762</v>
      </c>
      <c r="D236" s="3">
        <v>34</v>
      </c>
      <c r="E236" s="2" t="s">
        <v>116</v>
      </c>
      <c r="F236" s="3">
        <v>0</v>
      </c>
      <c r="G236" s="2" t="s">
        <v>116</v>
      </c>
      <c r="H236" s="2" t="s">
        <v>740</v>
      </c>
      <c r="I236" s="9" t="s">
        <v>118</v>
      </c>
    </row>
    <row r="237" spans="1:9" x14ac:dyDescent="0.25">
      <c r="A237" s="2" t="s">
        <v>629</v>
      </c>
      <c r="B237" s="2" t="s">
        <v>763</v>
      </c>
      <c r="C237" s="2" t="s">
        <v>764</v>
      </c>
      <c r="D237" s="3">
        <v>129</v>
      </c>
      <c r="E237" s="2" t="s">
        <v>116</v>
      </c>
      <c r="F237" s="3">
        <v>0</v>
      </c>
      <c r="G237" s="2" t="s">
        <v>116</v>
      </c>
      <c r="H237" s="2" t="s">
        <v>765</v>
      </c>
      <c r="I237" s="9" t="s">
        <v>118</v>
      </c>
    </row>
    <row r="238" spans="1:9" x14ac:dyDescent="0.25">
      <c r="A238" s="2" t="s">
        <v>629</v>
      </c>
      <c r="B238" s="2" t="s">
        <v>766</v>
      </c>
      <c r="C238" s="2" t="s">
        <v>767</v>
      </c>
      <c r="D238" s="3">
        <v>12</v>
      </c>
      <c r="E238" s="2" t="s">
        <v>118</v>
      </c>
      <c r="F238" s="3">
        <v>349</v>
      </c>
      <c r="G238" s="2" t="s">
        <v>118</v>
      </c>
      <c r="H238" s="2"/>
      <c r="I238" s="10" t="s">
        <v>116</v>
      </c>
    </row>
    <row r="239" spans="1:9" x14ac:dyDescent="0.25">
      <c r="A239" s="2" t="s">
        <v>629</v>
      </c>
      <c r="B239" s="2" t="s">
        <v>768</v>
      </c>
      <c r="C239" s="2" t="s">
        <v>769</v>
      </c>
      <c r="D239" s="3">
        <v>32</v>
      </c>
      <c r="E239" s="2" t="s">
        <v>116</v>
      </c>
      <c r="F239" s="3">
        <v>0</v>
      </c>
      <c r="G239" s="2" t="s">
        <v>116</v>
      </c>
      <c r="H239" s="2" t="s">
        <v>770</v>
      </c>
      <c r="I239" s="9" t="s">
        <v>118</v>
      </c>
    </row>
    <row r="240" spans="1:9" x14ac:dyDescent="0.25">
      <c r="A240" s="2" t="s">
        <v>629</v>
      </c>
      <c r="B240" s="2" t="s">
        <v>771</v>
      </c>
      <c r="C240" s="2" t="s">
        <v>772</v>
      </c>
      <c r="D240" s="3">
        <v>2011</v>
      </c>
      <c r="E240" s="2" t="s">
        <v>116</v>
      </c>
      <c r="F240" s="3">
        <v>0</v>
      </c>
      <c r="G240" s="2" t="s">
        <v>118</v>
      </c>
      <c r="H240" s="2" t="s">
        <v>773</v>
      </c>
      <c r="I240" s="9" t="s">
        <v>118</v>
      </c>
    </row>
    <row r="241" spans="1:9" x14ac:dyDescent="0.25">
      <c r="A241" s="2" t="s">
        <v>629</v>
      </c>
      <c r="B241" s="2" t="s">
        <v>774</v>
      </c>
      <c r="C241" s="2" t="s">
        <v>775</v>
      </c>
      <c r="D241" s="3">
        <v>70</v>
      </c>
      <c r="E241" s="2" t="s">
        <v>118</v>
      </c>
      <c r="F241" s="3">
        <v>585</v>
      </c>
      <c r="G241" s="2" t="s">
        <v>118</v>
      </c>
      <c r="H241" s="2"/>
      <c r="I241" s="10" t="s">
        <v>116</v>
      </c>
    </row>
    <row r="242" spans="1:9" x14ac:dyDescent="0.25">
      <c r="A242" s="2" t="s">
        <v>629</v>
      </c>
      <c r="B242" s="2" t="s">
        <v>776</v>
      </c>
      <c r="C242" s="2" t="s">
        <v>777</v>
      </c>
      <c r="D242" s="3">
        <v>36</v>
      </c>
      <c r="E242" s="2" t="s">
        <v>118</v>
      </c>
      <c r="F242" s="3">
        <v>730</v>
      </c>
      <c r="G242" s="2" t="s">
        <v>116</v>
      </c>
      <c r="H242" s="2" t="s">
        <v>778</v>
      </c>
      <c r="I242" s="9" t="s">
        <v>118</v>
      </c>
    </row>
    <row r="243" spans="1:9" x14ac:dyDescent="0.25">
      <c r="A243" s="2" t="s">
        <v>629</v>
      </c>
      <c r="B243" s="2" t="s">
        <v>779</v>
      </c>
      <c r="C243" s="2" t="s">
        <v>780</v>
      </c>
      <c r="D243" s="3">
        <v>161</v>
      </c>
      <c r="E243" s="2" t="s">
        <v>116</v>
      </c>
      <c r="F243" s="3">
        <v>0</v>
      </c>
      <c r="G243" s="2" t="s">
        <v>116</v>
      </c>
      <c r="H243" s="2" t="s">
        <v>781</v>
      </c>
      <c r="I243" s="9" t="s">
        <v>118</v>
      </c>
    </row>
    <row r="244" spans="1:9" x14ac:dyDescent="0.25">
      <c r="A244" s="2" t="s">
        <v>629</v>
      </c>
      <c r="B244" s="2" t="s">
        <v>782</v>
      </c>
      <c r="C244" s="2" t="s">
        <v>783</v>
      </c>
      <c r="D244" s="3">
        <v>73</v>
      </c>
      <c r="E244" s="2" t="s">
        <v>116</v>
      </c>
      <c r="F244" s="3">
        <v>0</v>
      </c>
      <c r="G244" s="2" t="s">
        <v>118</v>
      </c>
      <c r="H244" s="2" t="s">
        <v>784</v>
      </c>
      <c r="I244" s="9" t="s">
        <v>118</v>
      </c>
    </row>
    <row r="245" spans="1:9" x14ac:dyDescent="0.25">
      <c r="A245" s="2" t="s">
        <v>629</v>
      </c>
      <c r="B245" s="2" t="s">
        <v>785</v>
      </c>
      <c r="C245" s="2" t="s">
        <v>786</v>
      </c>
      <c r="D245" s="3">
        <v>118</v>
      </c>
      <c r="E245" s="2" t="s">
        <v>116</v>
      </c>
      <c r="F245" s="3">
        <v>0</v>
      </c>
      <c r="G245" s="2" t="s">
        <v>116</v>
      </c>
      <c r="H245" s="2" t="s">
        <v>787</v>
      </c>
      <c r="I245" s="9" t="s">
        <v>118</v>
      </c>
    </row>
    <row r="246" spans="1:9" x14ac:dyDescent="0.25">
      <c r="A246" s="2" t="s">
        <v>629</v>
      </c>
      <c r="B246" s="2" t="s">
        <v>788</v>
      </c>
      <c r="C246" s="2" t="s">
        <v>789</v>
      </c>
      <c r="D246" s="3">
        <v>154</v>
      </c>
      <c r="E246" s="2" t="s">
        <v>116</v>
      </c>
      <c r="F246" s="3">
        <v>0</v>
      </c>
      <c r="G246" s="2" t="s">
        <v>116</v>
      </c>
      <c r="H246" s="2" t="s">
        <v>790</v>
      </c>
      <c r="I246" s="9" t="s">
        <v>118</v>
      </c>
    </row>
    <row r="247" spans="1:9" x14ac:dyDescent="0.25">
      <c r="A247" s="2" t="s">
        <v>629</v>
      </c>
      <c r="B247" s="2" t="s">
        <v>791</v>
      </c>
      <c r="C247" s="2" t="s">
        <v>792</v>
      </c>
      <c r="D247" s="3">
        <v>98</v>
      </c>
      <c r="E247" s="2" t="s">
        <v>118</v>
      </c>
      <c r="F247" s="3">
        <v>353</v>
      </c>
      <c r="G247" s="2" t="s">
        <v>116</v>
      </c>
      <c r="H247" s="2" t="s">
        <v>674</v>
      </c>
      <c r="I247" s="9" t="s">
        <v>118</v>
      </c>
    </row>
    <row r="248" spans="1:9" x14ac:dyDescent="0.25">
      <c r="A248" s="2" t="s">
        <v>629</v>
      </c>
      <c r="B248" s="2" t="s">
        <v>793</v>
      </c>
      <c r="C248" s="2" t="s">
        <v>794</v>
      </c>
      <c r="D248" s="3">
        <v>10</v>
      </c>
      <c r="E248" s="2" t="s">
        <v>118</v>
      </c>
      <c r="F248" s="3">
        <v>352</v>
      </c>
      <c r="G248" s="2" t="s">
        <v>116</v>
      </c>
      <c r="H248" s="2" t="s">
        <v>795</v>
      </c>
      <c r="I248" s="9" t="s">
        <v>118</v>
      </c>
    </row>
    <row r="249" spans="1:9" x14ac:dyDescent="0.25">
      <c r="A249" s="2" t="s">
        <v>629</v>
      </c>
      <c r="B249" s="2" t="s">
        <v>796</v>
      </c>
      <c r="C249" s="2" t="s">
        <v>797</v>
      </c>
      <c r="D249" s="3">
        <v>1</v>
      </c>
      <c r="E249" s="2" t="s">
        <v>116</v>
      </c>
      <c r="F249" s="3">
        <v>0</v>
      </c>
      <c r="G249" s="2" t="s">
        <v>116</v>
      </c>
      <c r="H249" s="2" t="s">
        <v>798</v>
      </c>
      <c r="I249" s="9" t="s">
        <v>118</v>
      </c>
    </row>
    <row r="250" spans="1:9" x14ac:dyDescent="0.25">
      <c r="A250" s="2" t="s">
        <v>629</v>
      </c>
      <c r="B250" s="2" t="s">
        <v>799</v>
      </c>
      <c r="C250" s="2" t="s">
        <v>800</v>
      </c>
      <c r="D250" s="3">
        <v>1757</v>
      </c>
      <c r="E250" s="2" t="s">
        <v>116</v>
      </c>
      <c r="F250" s="3">
        <v>0</v>
      </c>
      <c r="G250" s="2" t="s">
        <v>116</v>
      </c>
      <c r="H250" s="2" t="s">
        <v>773</v>
      </c>
      <c r="I250" s="9" t="s">
        <v>118</v>
      </c>
    </row>
    <row r="251" spans="1:9" x14ac:dyDescent="0.25">
      <c r="A251" s="2" t="s">
        <v>629</v>
      </c>
      <c r="B251" s="2" t="s">
        <v>801</v>
      </c>
      <c r="C251" s="2" t="s">
        <v>802</v>
      </c>
      <c r="D251" s="3">
        <v>103</v>
      </c>
      <c r="E251" s="2" t="s">
        <v>116</v>
      </c>
      <c r="F251" s="3">
        <v>0</v>
      </c>
      <c r="G251" s="2" t="s">
        <v>116</v>
      </c>
      <c r="H251" s="2" t="s">
        <v>803</v>
      </c>
      <c r="I251" s="9" t="s">
        <v>118</v>
      </c>
    </row>
    <row r="252" spans="1:9" x14ac:dyDescent="0.25">
      <c r="A252" s="2" t="s">
        <v>629</v>
      </c>
      <c r="B252" s="2" t="s">
        <v>804</v>
      </c>
      <c r="C252" s="2" t="s">
        <v>805</v>
      </c>
      <c r="D252" s="3">
        <v>61</v>
      </c>
      <c r="E252" s="2" t="s">
        <v>116</v>
      </c>
      <c r="F252" s="3">
        <v>0</v>
      </c>
      <c r="G252" s="2" t="s">
        <v>116</v>
      </c>
      <c r="H252" s="2" t="s">
        <v>806</v>
      </c>
      <c r="I252" s="9" t="s">
        <v>118</v>
      </c>
    </row>
    <row r="253" spans="1:9" x14ac:dyDescent="0.25">
      <c r="A253" s="2" t="s">
        <v>629</v>
      </c>
      <c r="B253" s="2" t="s">
        <v>807</v>
      </c>
      <c r="C253" s="2" t="s">
        <v>808</v>
      </c>
      <c r="D253" s="3">
        <v>53</v>
      </c>
      <c r="E253" s="2" t="s">
        <v>116</v>
      </c>
      <c r="F253" s="3">
        <v>0</v>
      </c>
      <c r="G253" s="2" t="s">
        <v>116</v>
      </c>
      <c r="H253" s="2" t="s">
        <v>809</v>
      </c>
      <c r="I253" s="9" t="s">
        <v>118</v>
      </c>
    </row>
    <row r="254" spans="1:9" x14ac:dyDescent="0.25">
      <c r="A254" s="2" t="s">
        <v>629</v>
      </c>
      <c r="B254" s="2" t="s">
        <v>810</v>
      </c>
      <c r="C254" s="2" t="s">
        <v>811</v>
      </c>
      <c r="D254" s="3">
        <v>6</v>
      </c>
      <c r="E254" s="2" t="s">
        <v>118</v>
      </c>
      <c r="F254" s="3">
        <v>669</v>
      </c>
      <c r="G254" s="2" t="s">
        <v>116</v>
      </c>
      <c r="H254" s="2" t="s">
        <v>689</v>
      </c>
      <c r="I254" s="9" t="s">
        <v>118</v>
      </c>
    </row>
    <row r="255" spans="1:9" x14ac:dyDescent="0.25">
      <c r="A255" s="2" t="s">
        <v>629</v>
      </c>
      <c r="B255" s="2" t="s">
        <v>812</v>
      </c>
      <c r="C255" s="2" t="s">
        <v>813</v>
      </c>
      <c r="D255" s="3">
        <v>52</v>
      </c>
      <c r="E255" s="2" t="s">
        <v>118</v>
      </c>
      <c r="F255" s="3">
        <v>570</v>
      </c>
      <c r="G255" s="2" t="s">
        <v>116</v>
      </c>
      <c r="H255" s="2" t="s">
        <v>755</v>
      </c>
      <c r="I255" s="9" t="s">
        <v>118</v>
      </c>
    </row>
    <row r="256" spans="1:9" x14ac:dyDescent="0.25">
      <c r="A256" s="2" t="s">
        <v>629</v>
      </c>
      <c r="B256" s="2" t="s">
        <v>814</v>
      </c>
      <c r="C256" s="2" t="s">
        <v>815</v>
      </c>
      <c r="D256" s="3">
        <v>1880</v>
      </c>
      <c r="E256" s="2" t="s">
        <v>116</v>
      </c>
      <c r="F256" s="3">
        <v>0</v>
      </c>
      <c r="G256" s="2" t="s">
        <v>116</v>
      </c>
      <c r="H256" s="2" t="s">
        <v>773</v>
      </c>
      <c r="I256" s="9" t="s">
        <v>118</v>
      </c>
    </row>
    <row r="257" spans="1:9" x14ac:dyDescent="0.25">
      <c r="A257" s="2" t="s">
        <v>629</v>
      </c>
      <c r="B257" s="2" t="s">
        <v>816</v>
      </c>
      <c r="C257" s="2" t="s">
        <v>817</v>
      </c>
      <c r="D257" s="3">
        <v>110</v>
      </c>
      <c r="E257" s="2" t="s">
        <v>118</v>
      </c>
      <c r="F257" s="3">
        <v>312</v>
      </c>
      <c r="G257" s="2" t="s">
        <v>116</v>
      </c>
      <c r="H257" s="2" t="s">
        <v>803</v>
      </c>
      <c r="I257" s="9" t="s">
        <v>118</v>
      </c>
    </row>
    <row r="258" spans="1:9" x14ac:dyDescent="0.25">
      <c r="A258" s="2" t="s">
        <v>629</v>
      </c>
      <c r="B258" s="2" t="s">
        <v>818</v>
      </c>
      <c r="C258" s="2" t="s">
        <v>819</v>
      </c>
      <c r="D258" s="3">
        <v>135</v>
      </c>
      <c r="E258" s="2" t="s">
        <v>116</v>
      </c>
      <c r="F258" s="3">
        <v>0</v>
      </c>
      <c r="G258" s="2" t="s">
        <v>116</v>
      </c>
      <c r="H258" s="2" t="s">
        <v>803</v>
      </c>
      <c r="I258" s="9" t="s">
        <v>118</v>
      </c>
    </row>
    <row r="259" spans="1:9" x14ac:dyDescent="0.25">
      <c r="A259" s="2" t="s">
        <v>629</v>
      </c>
      <c r="B259" s="2" t="s">
        <v>820</v>
      </c>
      <c r="C259" s="2" t="s">
        <v>821</v>
      </c>
      <c r="D259" s="3">
        <v>164</v>
      </c>
      <c r="E259" s="2" t="s">
        <v>116</v>
      </c>
      <c r="F259" s="3">
        <v>0</v>
      </c>
      <c r="G259" s="2" t="s">
        <v>116</v>
      </c>
      <c r="H259" s="2" t="s">
        <v>822</v>
      </c>
      <c r="I259" s="9" t="s">
        <v>118</v>
      </c>
    </row>
  </sheetData>
  <autoFilter ref="A4:I259" xr:uid="{00000000-0009-0000-0000-000002000000}"/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3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28" customWidth="1"/>
    <col min="2" max="2" width="22" customWidth="1"/>
    <col min="3" max="3" width="12" customWidth="1"/>
    <col min="4" max="4" width="95" customWidth="1"/>
  </cols>
  <sheetData>
    <row r="1" spans="1:4" ht="30" customHeight="1" x14ac:dyDescent="0.25">
      <c r="A1" s="23" t="s">
        <v>823</v>
      </c>
      <c r="B1" s="14"/>
      <c r="C1" s="14"/>
      <c r="D1" s="14"/>
    </row>
    <row r="2" spans="1:4" ht="18" customHeight="1" x14ac:dyDescent="0.25">
      <c r="A2" s="28" t="s">
        <v>824</v>
      </c>
      <c r="B2" s="14"/>
      <c r="C2" s="14"/>
      <c r="D2" s="14"/>
    </row>
    <row r="4" spans="1:4" x14ac:dyDescent="0.25">
      <c r="A4" s="1" t="s">
        <v>40</v>
      </c>
      <c r="B4" s="1" t="s">
        <v>41</v>
      </c>
      <c r="C4" s="1" t="s">
        <v>16</v>
      </c>
      <c r="D4" s="1" t="s">
        <v>825</v>
      </c>
    </row>
    <row r="5" spans="1:4" ht="30" customHeight="1" x14ac:dyDescent="0.25">
      <c r="A5" s="2" t="s">
        <v>826</v>
      </c>
      <c r="B5" s="2" t="s">
        <v>827</v>
      </c>
      <c r="C5" s="5" t="s">
        <v>18</v>
      </c>
      <c r="D5" s="8" t="s">
        <v>828</v>
      </c>
    </row>
    <row r="6" spans="1:4" ht="30" customHeight="1" x14ac:dyDescent="0.25">
      <c r="A6" s="2" t="s">
        <v>42</v>
      </c>
      <c r="B6" s="2" t="s">
        <v>829</v>
      </c>
      <c r="C6" s="5" t="s">
        <v>18</v>
      </c>
      <c r="D6" s="8" t="s">
        <v>830</v>
      </c>
    </row>
    <row r="7" spans="1:4" ht="30" customHeight="1" x14ac:dyDescent="0.25">
      <c r="A7" s="2" t="s">
        <v>831</v>
      </c>
      <c r="B7" s="2" t="s">
        <v>832</v>
      </c>
      <c r="C7" s="7" t="s">
        <v>50</v>
      </c>
      <c r="D7" s="8" t="s">
        <v>833</v>
      </c>
    </row>
    <row r="8" spans="1:4" ht="30" customHeight="1" x14ac:dyDescent="0.25">
      <c r="A8" s="2" t="s">
        <v>834</v>
      </c>
      <c r="B8" s="2" t="s">
        <v>835</v>
      </c>
      <c r="C8" s="6" t="s">
        <v>24</v>
      </c>
      <c r="D8" s="8" t="s">
        <v>836</v>
      </c>
    </row>
    <row r="9" spans="1:4" ht="30" customHeight="1" x14ac:dyDescent="0.25">
      <c r="A9" s="2" t="s">
        <v>46</v>
      </c>
      <c r="B9" s="2" t="s">
        <v>837</v>
      </c>
      <c r="C9" s="5" t="s">
        <v>18</v>
      </c>
      <c r="D9" s="8" t="s">
        <v>838</v>
      </c>
    </row>
    <row r="10" spans="1:4" ht="30" customHeight="1" x14ac:dyDescent="0.25">
      <c r="A10" s="2" t="s">
        <v>839</v>
      </c>
      <c r="B10" s="2" t="s">
        <v>840</v>
      </c>
      <c r="C10" s="7" t="s">
        <v>50</v>
      </c>
      <c r="D10" s="8" t="s">
        <v>841</v>
      </c>
    </row>
    <row r="11" spans="1:4" ht="30" customHeight="1" x14ac:dyDescent="0.25">
      <c r="A11" s="2" t="s">
        <v>842</v>
      </c>
      <c r="B11" s="2" t="s">
        <v>840</v>
      </c>
      <c r="C11" s="7" t="s">
        <v>50</v>
      </c>
      <c r="D11" s="8" t="s">
        <v>843</v>
      </c>
    </row>
    <row r="12" spans="1:4" ht="30" customHeight="1" x14ac:dyDescent="0.25">
      <c r="A12" s="2" t="s">
        <v>844</v>
      </c>
      <c r="B12" s="2" t="s">
        <v>840</v>
      </c>
      <c r="C12" s="7" t="s">
        <v>50</v>
      </c>
      <c r="D12" s="8" t="s">
        <v>845</v>
      </c>
    </row>
    <row r="13" spans="1:4" ht="30" customHeight="1" x14ac:dyDescent="0.25">
      <c r="A13" s="2" t="s">
        <v>846</v>
      </c>
      <c r="B13" s="2" t="s">
        <v>840</v>
      </c>
      <c r="C13" s="7" t="s">
        <v>50</v>
      </c>
      <c r="D13" s="8" t="s">
        <v>847</v>
      </c>
    </row>
    <row r="14" spans="1:4" ht="30" customHeight="1" x14ac:dyDescent="0.25">
      <c r="A14" s="2" t="s">
        <v>848</v>
      </c>
      <c r="B14" s="2" t="s">
        <v>840</v>
      </c>
      <c r="C14" s="7" t="s">
        <v>50</v>
      </c>
      <c r="D14" s="8" t="s">
        <v>849</v>
      </c>
    </row>
    <row r="15" spans="1:4" ht="30" customHeight="1" x14ac:dyDescent="0.25">
      <c r="A15" s="2" t="s">
        <v>850</v>
      </c>
      <c r="B15" s="2" t="s">
        <v>837</v>
      </c>
      <c r="C15" s="6" t="s">
        <v>24</v>
      </c>
      <c r="D15" s="8" t="s">
        <v>851</v>
      </c>
    </row>
    <row r="16" spans="1:4" ht="30" customHeight="1" x14ac:dyDescent="0.25">
      <c r="A16" s="2" t="s">
        <v>852</v>
      </c>
      <c r="B16" s="2" t="s">
        <v>832</v>
      </c>
      <c r="C16" s="7" t="s">
        <v>50</v>
      </c>
      <c r="D16" s="8" t="s">
        <v>853</v>
      </c>
    </row>
    <row r="17" spans="1:4" ht="30" customHeight="1" x14ac:dyDescent="0.25">
      <c r="A17" s="2" t="s">
        <v>854</v>
      </c>
      <c r="B17" s="2" t="s">
        <v>832</v>
      </c>
      <c r="C17" s="7" t="s">
        <v>50</v>
      </c>
      <c r="D17" s="8" t="s">
        <v>855</v>
      </c>
    </row>
    <row r="18" spans="1:4" ht="30" customHeight="1" x14ac:dyDescent="0.25">
      <c r="A18" s="2" t="s">
        <v>856</v>
      </c>
      <c r="B18" s="2" t="s">
        <v>837</v>
      </c>
      <c r="C18" s="6" t="s">
        <v>24</v>
      </c>
      <c r="D18" s="8" t="s">
        <v>857</v>
      </c>
    </row>
    <row r="19" spans="1:4" ht="30" customHeight="1" x14ac:dyDescent="0.25">
      <c r="A19" s="2" t="s">
        <v>858</v>
      </c>
      <c r="B19" s="2" t="s">
        <v>832</v>
      </c>
      <c r="C19" s="7" t="s">
        <v>50</v>
      </c>
      <c r="D19" s="8" t="s">
        <v>859</v>
      </c>
    </row>
    <row r="20" spans="1:4" ht="30" customHeight="1" x14ac:dyDescent="0.25">
      <c r="A20" s="2" t="s">
        <v>860</v>
      </c>
      <c r="B20" s="2" t="s">
        <v>835</v>
      </c>
      <c r="C20" s="6" t="s">
        <v>24</v>
      </c>
      <c r="D20" s="8" t="s">
        <v>861</v>
      </c>
    </row>
    <row r="21" spans="1:4" ht="30" customHeight="1" x14ac:dyDescent="0.25">
      <c r="A21" s="2" t="s">
        <v>862</v>
      </c>
      <c r="B21" s="2" t="s">
        <v>863</v>
      </c>
      <c r="C21" s="7" t="s">
        <v>50</v>
      </c>
      <c r="D21" s="8" t="s">
        <v>864</v>
      </c>
    </row>
    <row r="22" spans="1:4" ht="30" customHeight="1" x14ac:dyDescent="0.25">
      <c r="A22" s="2" t="s">
        <v>55</v>
      </c>
      <c r="B22" s="2" t="s">
        <v>865</v>
      </c>
      <c r="C22" s="5" t="s">
        <v>18</v>
      </c>
      <c r="D22" s="8" t="s">
        <v>866</v>
      </c>
    </row>
    <row r="23" spans="1:4" ht="30" customHeight="1" x14ac:dyDescent="0.25">
      <c r="A23" s="2" t="s">
        <v>867</v>
      </c>
      <c r="B23" s="2" t="s">
        <v>868</v>
      </c>
      <c r="C23" s="6" t="s">
        <v>24</v>
      </c>
      <c r="D23" s="8" t="s">
        <v>869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1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34" customWidth="1"/>
    <col min="2" max="2" width="40" customWidth="1"/>
    <col min="3" max="3" width="12" customWidth="1"/>
    <col min="4" max="4" width="14" customWidth="1"/>
    <col min="5" max="5" width="36" customWidth="1"/>
  </cols>
  <sheetData>
    <row r="1" spans="1:5" ht="30" customHeight="1" x14ac:dyDescent="0.25">
      <c r="A1" s="23" t="s">
        <v>870</v>
      </c>
      <c r="B1" s="14"/>
      <c r="C1" s="14"/>
      <c r="D1" s="14"/>
      <c r="E1" s="14"/>
    </row>
    <row r="2" spans="1:5" ht="18" customHeight="1" x14ac:dyDescent="0.25">
      <c r="A2" s="28" t="s">
        <v>871</v>
      </c>
      <c r="B2" s="14"/>
      <c r="C2" s="14"/>
      <c r="D2" s="14"/>
      <c r="E2" s="14"/>
    </row>
    <row r="4" spans="1:5" ht="25.5" x14ac:dyDescent="0.25">
      <c r="A4" s="1" t="s">
        <v>872</v>
      </c>
      <c r="B4" s="1" t="s">
        <v>873</v>
      </c>
      <c r="C4" s="1" t="s">
        <v>41</v>
      </c>
      <c r="D4" s="1" t="s">
        <v>874</v>
      </c>
      <c r="E4" s="1" t="s">
        <v>875</v>
      </c>
    </row>
    <row r="5" spans="1:5" x14ac:dyDescent="0.25">
      <c r="A5" s="2" t="s">
        <v>876</v>
      </c>
      <c r="B5" s="2" t="s">
        <v>877</v>
      </c>
      <c r="C5" s="2" t="s">
        <v>878</v>
      </c>
      <c r="D5" s="3">
        <v>10816</v>
      </c>
      <c r="E5" s="2"/>
    </row>
    <row r="6" spans="1:5" x14ac:dyDescent="0.25">
      <c r="A6" s="2" t="s">
        <v>879</v>
      </c>
      <c r="B6" s="2" t="s">
        <v>880</v>
      </c>
      <c r="C6" s="2" t="s">
        <v>878</v>
      </c>
      <c r="D6" s="3">
        <v>6740</v>
      </c>
      <c r="E6" s="2"/>
    </row>
    <row r="7" spans="1:5" x14ac:dyDescent="0.25">
      <c r="A7" s="2" t="s">
        <v>881</v>
      </c>
      <c r="B7" s="2" t="s">
        <v>882</v>
      </c>
      <c r="C7" s="2" t="s">
        <v>878</v>
      </c>
      <c r="D7" s="3">
        <v>3531</v>
      </c>
      <c r="E7" s="2"/>
    </row>
    <row r="8" spans="1:5" x14ac:dyDescent="0.25">
      <c r="A8" s="2" t="s">
        <v>883</v>
      </c>
      <c r="B8" s="2" t="s">
        <v>884</v>
      </c>
      <c r="C8" s="2" t="s">
        <v>878</v>
      </c>
      <c r="D8" s="3">
        <v>2587</v>
      </c>
      <c r="E8" s="2"/>
    </row>
    <row r="9" spans="1:5" x14ac:dyDescent="0.25">
      <c r="A9" s="2" t="s">
        <v>885</v>
      </c>
      <c r="B9" s="2" t="s">
        <v>886</v>
      </c>
      <c r="C9" s="2" t="s">
        <v>878</v>
      </c>
      <c r="D9" s="3">
        <v>1755</v>
      </c>
      <c r="E9" s="2"/>
    </row>
    <row r="10" spans="1:5" x14ac:dyDescent="0.25">
      <c r="A10" s="2" t="s">
        <v>887</v>
      </c>
      <c r="B10" s="2" t="s">
        <v>888</v>
      </c>
      <c r="C10" s="2" t="s">
        <v>878</v>
      </c>
      <c r="D10" s="3">
        <v>631</v>
      </c>
      <c r="E10" s="2"/>
    </row>
    <row r="11" spans="1:5" x14ac:dyDescent="0.25">
      <c r="A11" s="2" t="s">
        <v>889</v>
      </c>
      <c r="B11" s="2" t="s">
        <v>890</v>
      </c>
      <c r="C11" s="2" t="s">
        <v>878</v>
      </c>
      <c r="D11" s="3">
        <v>592</v>
      </c>
      <c r="E11" s="2"/>
    </row>
    <row r="12" spans="1:5" x14ac:dyDescent="0.25">
      <c r="A12" s="2" t="s">
        <v>891</v>
      </c>
      <c r="B12" s="2" t="s">
        <v>892</v>
      </c>
      <c r="C12" s="2" t="s">
        <v>878</v>
      </c>
      <c r="D12" s="3">
        <v>242</v>
      </c>
      <c r="E12" s="2" t="s">
        <v>893</v>
      </c>
    </row>
    <row r="13" spans="1:5" x14ac:dyDescent="0.25">
      <c r="A13" s="2" t="s">
        <v>894</v>
      </c>
      <c r="B13" s="2" t="s">
        <v>895</v>
      </c>
      <c r="C13" s="2" t="s">
        <v>878</v>
      </c>
      <c r="D13" s="3">
        <v>242</v>
      </c>
      <c r="E13" s="2" t="s">
        <v>893</v>
      </c>
    </row>
    <row r="14" spans="1:5" x14ac:dyDescent="0.25">
      <c r="A14" s="2" t="s">
        <v>896</v>
      </c>
      <c r="B14" s="2" t="s">
        <v>897</v>
      </c>
      <c r="C14" s="2" t="s">
        <v>878</v>
      </c>
      <c r="D14" s="3">
        <v>57</v>
      </c>
      <c r="E14" s="2" t="s">
        <v>893</v>
      </c>
    </row>
    <row r="15" spans="1:5" x14ac:dyDescent="0.25">
      <c r="A15" s="2" t="s">
        <v>898</v>
      </c>
      <c r="B15" s="2" t="s">
        <v>899</v>
      </c>
      <c r="C15" s="2" t="s">
        <v>878</v>
      </c>
      <c r="D15" s="3">
        <v>35</v>
      </c>
      <c r="E15" s="2" t="s">
        <v>893</v>
      </c>
    </row>
    <row r="16" spans="1:5" x14ac:dyDescent="0.25">
      <c r="A16" s="2" t="s">
        <v>900</v>
      </c>
      <c r="B16" s="2" t="s">
        <v>901</v>
      </c>
      <c r="C16" s="11" t="s">
        <v>902</v>
      </c>
      <c r="D16" s="3">
        <v>2717</v>
      </c>
      <c r="E16" s="2" t="s">
        <v>903</v>
      </c>
    </row>
    <row r="17" spans="1:5" x14ac:dyDescent="0.25">
      <c r="A17" s="2" t="s">
        <v>904</v>
      </c>
      <c r="B17" s="2" t="s">
        <v>905</v>
      </c>
      <c r="C17" s="11" t="s">
        <v>902</v>
      </c>
      <c r="D17" s="3">
        <v>1379</v>
      </c>
      <c r="E17" s="2" t="s">
        <v>903</v>
      </c>
    </row>
    <row r="18" spans="1:5" x14ac:dyDescent="0.25">
      <c r="A18" s="2" t="s">
        <v>906</v>
      </c>
      <c r="B18" s="2" t="s">
        <v>907</v>
      </c>
      <c r="C18" s="11" t="s">
        <v>902</v>
      </c>
      <c r="D18" s="3">
        <v>1295</v>
      </c>
      <c r="E18" s="2" t="s">
        <v>903</v>
      </c>
    </row>
    <row r="19" spans="1:5" x14ac:dyDescent="0.25">
      <c r="A19" s="2" t="s">
        <v>908</v>
      </c>
      <c r="B19" s="2" t="s">
        <v>909</v>
      </c>
      <c r="C19" s="11" t="s">
        <v>902</v>
      </c>
      <c r="D19" s="3">
        <v>1057</v>
      </c>
      <c r="E19" s="2" t="s">
        <v>903</v>
      </c>
    </row>
    <row r="20" spans="1:5" x14ac:dyDescent="0.25">
      <c r="A20" s="2" t="s">
        <v>910</v>
      </c>
      <c r="B20" s="2" t="s">
        <v>911</v>
      </c>
      <c r="C20" s="11" t="s">
        <v>902</v>
      </c>
      <c r="D20" s="3">
        <v>944</v>
      </c>
      <c r="E20" s="2" t="s">
        <v>903</v>
      </c>
    </row>
    <row r="21" spans="1:5" x14ac:dyDescent="0.25">
      <c r="A21" s="2" t="s">
        <v>912</v>
      </c>
      <c r="B21" s="2" t="s">
        <v>913</v>
      </c>
      <c r="C21" s="11" t="s">
        <v>902</v>
      </c>
      <c r="D21" s="3">
        <v>921</v>
      </c>
      <c r="E21" s="2" t="s">
        <v>903</v>
      </c>
    </row>
    <row r="22" spans="1:5" x14ac:dyDescent="0.25">
      <c r="A22" s="2" t="s">
        <v>914</v>
      </c>
      <c r="B22" s="2" t="s">
        <v>915</v>
      </c>
      <c r="C22" s="11" t="s">
        <v>902</v>
      </c>
      <c r="D22" s="3">
        <v>900</v>
      </c>
      <c r="E22" s="2" t="s">
        <v>903</v>
      </c>
    </row>
    <row r="23" spans="1:5" x14ac:dyDescent="0.25">
      <c r="A23" s="2" t="s">
        <v>916</v>
      </c>
      <c r="B23" s="2" t="s">
        <v>917</v>
      </c>
      <c r="C23" s="11" t="s">
        <v>902</v>
      </c>
      <c r="D23" s="3">
        <v>783</v>
      </c>
      <c r="E23" s="2" t="s">
        <v>903</v>
      </c>
    </row>
    <row r="24" spans="1:5" x14ac:dyDescent="0.25">
      <c r="A24" s="2" t="s">
        <v>918</v>
      </c>
      <c r="B24" s="2" t="s">
        <v>919</v>
      </c>
      <c r="C24" s="11" t="s">
        <v>902</v>
      </c>
      <c r="D24" s="3">
        <v>717</v>
      </c>
      <c r="E24" s="2" t="s">
        <v>903</v>
      </c>
    </row>
    <row r="25" spans="1:5" x14ac:dyDescent="0.25">
      <c r="A25" s="2" t="s">
        <v>920</v>
      </c>
      <c r="B25" s="2" t="s">
        <v>921</v>
      </c>
      <c r="C25" s="11" t="s">
        <v>902</v>
      </c>
      <c r="D25" s="3">
        <v>704</v>
      </c>
      <c r="E25" s="2" t="s">
        <v>903</v>
      </c>
    </row>
    <row r="26" spans="1:5" x14ac:dyDescent="0.25">
      <c r="A26" s="2" t="s">
        <v>922</v>
      </c>
      <c r="B26" s="2" t="s">
        <v>923</v>
      </c>
      <c r="C26" s="11" t="s">
        <v>902</v>
      </c>
      <c r="D26" s="3">
        <v>627</v>
      </c>
      <c r="E26" s="2" t="s">
        <v>903</v>
      </c>
    </row>
    <row r="27" spans="1:5" x14ac:dyDescent="0.25">
      <c r="A27" s="2" t="s">
        <v>924</v>
      </c>
      <c r="B27" s="2" t="s">
        <v>925</v>
      </c>
      <c r="C27" s="11" t="s">
        <v>902</v>
      </c>
      <c r="D27" s="3">
        <v>584</v>
      </c>
      <c r="E27" s="2" t="s">
        <v>903</v>
      </c>
    </row>
    <row r="28" spans="1:5" x14ac:dyDescent="0.25">
      <c r="A28" s="2" t="s">
        <v>926</v>
      </c>
      <c r="B28" s="2" t="s">
        <v>927</v>
      </c>
      <c r="C28" s="11" t="s">
        <v>902</v>
      </c>
      <c r="D28" s="3">
        <v>566</v>
      </c>
      <c r="E28" s="2" t="s">
        <v>903</v>
      </c>
    </row>
    <row r="29" spans="1:5" x14ac:dyDescent="0.25">
      <c r="A29" s="2" t="s">
        <v>928</v>
      </c>
      <c r="B29" s="2" t="s">
        <v>929</v>
      </c>
      <c r="C29" s="11" t="s">
        <v>902</v>
      </c>
      <c r="D29" s="3">
        <v>523</v>
      </c>
      <c r="E29" s="2" t="s">
        <v>903</v>
      </c>
    </row>
    <row r="30" spans="1:5" x14ac:dyDescent="0.25">
      <c r="A30" s="2" t="s">
        <v>930</v>
      </c>
      <c r="B30" s="2" t="s">
        <v>931</v>
      </c>
      <c r="C30" s="11" t="s">
        <v>902</v>
      </c>
      <c r="D30" s="3">
        <v>511</v>
      </c>
      <c r="E30" s="2" t="s">
        <v>903</v>
      </c>
    </row>
    <row r="31" spans="1:5" x14ac:dyDescent="0.25">
      <c r="A31" s="2" t="s">
        <v>932</v>
      </c>
      <c r="B31" s="2" t="s">
        <v>933</v>
      </c>
      <c r="C31" s="11" t="s">
        <v>902</v>
      </c>
      <c r="D31" s="3">
        <v>509</v>
      </c>
      <c r="E31" s="2" t="s">
        <v>903</v>
      </c>
    </row>
    <row r="32" spans="1:5" x14ac:dyDescent="0.25">
      <c r="A32" s="2" t="s">
        <v>132</v>
      </c>
      <c r="B32" s="2" t="s">
        <v>934</v>
      </c>
      <c r="C32" s="11" t="s">
        <v>902</v>
      </c>
      <c r="D32" s="3">
        <v>408</v>
      </c>
      <c r="E32" s="2" t="s">
        <v>903</v>
      </c>
    </row>
    <row r="33" spans="1:5" x14ac:dyDescent="0.25">
      <c r="A33" s="2" t="s">
        <v>935</v>
      </c>
      <c r="B33" s="2" t="s">
        <v>936</v>
      </c>
      <c r="C33" s="11" t="s">
        <v>902</v>
      </c>
      <c r="D33" s="3">
        <v>343</v>
      </c>
      <c r="E33" s="2" t="s">
        <v>903</v>
      </c>
    </row>
    <row r="34" spans="1:5" x14ac:dyDescent="0.25">
      <c r="A34" s="2" t="s">
        <v>937</v>
      </c>
      <c r="B34" s="2" t="s">
        <v>938</v>
      </c>
      <c r="C34" s="11" t="s">
        <v>902</v>
      </c>
      <c r="D34" s="3">
        <v>99</v>
      </c>
      <c r="E34" s="2" t="s">
        <v>893</v>
      </c>
    </row>
    <row r="35" spans="1:5" x14ac:dyDescent="0.25">
      <c r="A35" s="2" t="s">
        <v>939</v>
      </c>
      <c r="B35" s="2" t="s">
        <v>940</v>
      </c>
      <c r="C35" s="11" t="s">
        <v>902</v>
      </c>
      <c r="D35" s="3">
        <v>0</v>
      </c>
      <c r="E35" s="2" t="s">
        <v>941</v>
      </c>
    </row>
    <row r="37" spans="1:5" ht="20.100000000000001" customHeight="1" x14ac:dyDescent="0.25">
      <c r="A37" s="21" t="s">
        <v>942</v>
      </c>
      <c r="B37" s="14"/>
      <c r="C37" s="14"/>
      <c r="D37" s="14"/>
      <c r="E37" s="14"/>
    </row>
    <row r="38" spans="1:5" x14ac:dyDescent="0.25">
      <c r="A38" s="2" t="s">
        <v>943</v>
      </c>
      <c r="B38" s="2">
        <v>41</v>
      </c>
      <c r="C38" s="2"/>
      <c r="D38" s="2"/>
      <c r="E38" s="2"/>
    </row>
    <row r="39" spans="1:5" x14ac:dyDescent="0.25">
      <c r="A39" s="2" t="s">
        <v>878</v>
      </c>
      <c r="B39" s="2">
        <v>37</v>
      </c>
      <c r="C39" s="2"/>
      <c r="D39" s="2"/>
      <c r="E39" s="2"/>
    </row>
    <row r="40" spans="1:5" x14ac:dyDescent="0.25">
      <c r="A40" s="2" t="s">
        <v>944</v>
      </c>
      <c r="B40" s="2" t="s">
        <v>945</v>
      </c>
      <c r="C40" s="2"/>
      <c r="D40" s="2"/>
      <c r="E40" s="2"/>
    </row>
    <row r="41" spans="1:5" x14ac:dyDescent="0.25">
      <c r="A41" s="2" t="s">
        <v>946</v>
      </c>
      <c r="B41" s="2">
        <v>1</v>
      </c>
      <c r="C41" s="2"/>
      <c r="D41" s="2"/>
      <c r="E41" s="2"/>
    </row>
  </sheetData>
  <mergeCells count="3">
    <mergeCell ref="A2:E2"/>
    <mergeCell ref="A1:E1"/>
    <mergeCell ref="A37:E3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3"/>
  <sheetViews>
    <sheetView showGridLines="0" workbookViewId="0"/>
  </sheetViews>
  <sheetFormatPr defaultRowHeight="15" x14ac:dyDescent="0.25"/>
  <cols>
    <col min="1" max="1" width="26" customWidth="1"/>
    <col min="2" max="2" width="50" customWidth="1"/>
    <col min="3" max="3" width="12" customWidth="1"/>
    <col min="4" max="4" width="56" customWidth="1"/>
  </cols>
  <sheetData>
    <row r="1" spans="1:4" ht="30" customHeight="1" x14ac:dyDescent="0.25">
      <c r="A1" s="23" t="s">
        <v>947</v>
      </c>
      <c r="B1" s="14"/>
      <c r="C1" s="14"/>
      <c r="D1" s="14"/>
    </row>
    <row r="2" spans="1:4" ht="18" customHeight="1" x14ac:dyDescent="0.25">
      <c r="A2" s="28" t="s">
        <v>948</v>
      </c>
      <c r="B2" s="14"/>
      <c r="C2" s="14"/>
      <c r="D2" s="14"/>
    </row>
    <row r="4" spans="1:4" x14ac:dyDescent="0.25">
      <c r="A4" s="1" t="s">
        <v>949</v>
      </c>
      <c r="B4" s="1" t="s">
        <v>950</v>
      </c>
      <c r="C4" s="1" t="s">
        <v>41</v>
      </c>
      <c r="D4" s="1" t="s">
        <v>951</v>
      </c>
    </row>
    <row r="5" spans="1:4" x14ac:dyDescent="0.25">
      <c r="A5" s="2" t="s">
        <v>952</v>
      </c>
      <c r="B5" s="2" t="s">
        <v>953</v>
      </c>
      <c r="C5" s="7" t="s">
        <v>50</v>
      </c>
      <c r="D5" s="8" t="s">
        <v>954</v>
      </c>
    </row>
    <row r="6" spans="1:4" x14ac:dyDescent="0.25">
      <c r="A6" s="2" t="s">
        <v>955</v>
      </c>
      <c r="B6" s="2" t="s">
        <v>956</v>
      </c>
      <c r="C6" s="7" t="s">
        <v>50</v>
      </c>
      <c r="D6" s="8" t="s">
        <v>957</v>
      </c>
    </row>
    <row r="7" spans="1:4" x14ac:dyDescent="0.25">
      <c r="A7" s="2" t="s">
        <v>958</v>
      </c>
      <c r="B7" s="2" t="s">
        <v>959</v>
      </c>
      <c r="C7" s="7" t="s">
        <v>50</v>
      </c>
      <c r="D7" s="8" t="s">
        <v>960</v>
      </c>
    </row>
    <row r="8" spans="1:4" ht="25.5" x14ac:dyDescent="0.25">
      <c r="A8" s="2" t="s">
        <v>961</v>
      </c>
      <c r="B8" s="2" t="s">
        <v>962</v>
      </c>
      <c r="C8" s="6" t="s">
        <v>963</v>
      </c>
      <c r="D8" s="8" t="s">
        <v>964</v>
      </c>
    </row>
    <row r="9" spans="1:4" x14ac:dyDescent="0.25">
      <c r="A9" s="2" t="s">
        <v>965</v>
      </c>
      <c r="B9" s="2" t="s">
        <v>966</v>
      </c>
      <c r="C9" s="7" t="s">
        <v>50</v>
      </c>
      <c r="D9" s="8" t="s">
        <v>967</v>
      </c>
    </row>
    <row r="10" spans="1:4" x14ac:dyDescent="0.25">
      <c r="A10" s="2" t="s">
        <v>968</v>
      </c>
      <c r="B10" s="2" t="s">
        <v>969</v>
      </c>
      <c r="C10" s="7" t="s">
        <v>50</v>
      </c>
      <c r="D10" s="8" t="s">
        <v>970</v>
      </c>
    </row>
    <row r="11" spans="1:4" ht="25.5" x14ac:dyDescent="0.25">
      <c r="A11" s="2" t="s">
        <v>971</v>
      </c>
      <c r="B11" s="2" t="s">
        <v>972</v>
      </c>
      <c r="C11" s="6" t="s">
        <v>24</v>
      </c>
      <c r="D11" s="8" t="s">
        <v>973</v>
      </c>
    </row>
    <row r="12" spans="1:4" x14ac:dyDescent="0.25">
      <c r="A12" s="2" t="s">
        <v>974</v>
      </c>
      <c r="B12" s="2" t="s">
        <v>975</v>
      </c>
      <c r="C12" s="6" t="s">
        <v>963</v>
      </c>
      <c r="D12" s="8" t="s">
        <v>976</v>
      </c>
    </row>
    <row r="13" spans="1:4" x14ac:dyDescent="0.25">
      <c r="A13" s="2" t="s">
        <v>977</v>
      </c>
      <c r="B13" s="2" t="s">
        <v>978</v>
      </c>
      <c r="C13" s="6" t="s">
        <v>24</v>
      </c>
      <c r="D13" s="8" t="s">
        <v>979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2"/>
  <sheetViews>
    <sheetView showGridLines="0" workbookViewId="0"/>
  </sheetViews>
  <sheetFormatPr defaultRowHeight="15" x14ac:dyDescent="0.25"/>
  <cols>
    <col min="1" max="1" width="26" customWidth="1"/>
    <col min="2" max="2" width="38" customWidth="1"/>
    <col min="3" max="3" width="12" customWidth="1"/>
    <col min="4" max="5" width="48" customWidth="1"/>
  </cols>
  <sheetData>
    <row r="1" spans="1:5" ht="30" customHeight="1" x14ac:dyDescent="0.25">
      <c r="A1" s="23" t="s">
        <v>980</v>
      </c>
      <c r="B1" s="14"/>
      <c r="C1" s="14"/>
      <c r="D1" s="14"/>
      <c r="E1" s="14"/>
    </row>
    <row r="2" spans="1:5" ht="18" customHeight="1" x14ac:dyDescent="0.25">
      <c r="A2" s="28" t="s">
        <v>981</v>
      </c>
      <c r="B2" s="14"/>
      <c r="C2" s="14"/>
      <c r="D2" s="14"/>
      <c r="E2" s="14"/>
    </row>
    <row r="4" spans="1:5" x14ac:dyDescent="0.25">
      <c r="A4" s="1" t="s">
        <v>982</v>
      </c>
      <c r="B4" s="1" t="s">
        <v>983</v>
      </c>
      <c r="C4" s="1" t="s">
        <v>16</v>
      </c>
      <c r="D4" s="1" t="s">
        <v>984</v>
      </c>
      <c r="E4" s="1" t="s">
        <v>985</v>
      </c>
    </row>
    <row r="5" spans="1:5" ht="30" customHeight="1" x14ac:dyDescent="0.25">
      <c r="A5" s="2" t="s">
        <v>986</v>
      </c>
      <c r="B5" s="8" t="s">
        <v>987</v>
      </c>
      <c r="C5" s="7" t="s">
        <v>50</v>
      </c>
      <c r="D5" s="8" t="s">
        <v>988</v>
      </c>
      <c r="E5" s="8" t="s">
        <v>989</v>
      </c>
    </row>
    <row r="6" spans="1:5" ht="30" customHeight="1" x14ac:dyDescent="0.25">
      <c r="A6" s="2" t="s">
        <v>990</v>
      </c>
      <c r="B6" s="8" t="s">
        <v>991</v>
      </c>
      <c r="C6" s="5" t="s">
        <v>18</v>
      </c>
      <c r="D6" s="8" t="s">
        <v>992</v>
      </c>
      <c r="E6" s="8" t="s">
        <v>993</v>
      </c>
    </row>
    <row r="7" spans="1:5" ht="30" customHeight="1" x14ac:dyDescent="0.25">
      <c r="A7" s="2" t="s">
        <v>994</v>
      </c>
      <c r="B7" s="8" t="s">
        <v>995</v>
      </c>
      <c r="C7" s="5" t="s">
        <v>18</v>
      </c>
      <c r="D7" s="8" t="s">
        <v>996</v>
      </c>
      <c r="E7" s="8" t="s">
        <v>997</v>
      </c>
    </row>
    <row r="8" spans="1:5" ht="30" customHeight="1" x14ac:dyDescent="0.25">
      <c r="A8" s="2" t="s">
        <v>998</v>
      </c>
      <c r="B8" s="8" t="s">
        <v>999</v>
      </c>
      <c r="C8" s="5" t="s">
        <v>18</v>
      </c>
      <c r="D8" s="8" t="s">
        <v>1000</v>
      </c>
      <c r="E8" s="8" t="s">
        <v>1001</v>
      </c>
    </row>
    <row r="9" spans="1:5" ht="30" customHeight="1" x14ac:dyDescent="0.25">
      <c r="A9" s="2" t="s">
        <v>1002</v>
      </c>
      <c r="B9" s="8" t="s">
        <v>1003</v>
      </c>
      <c r="C9" s="6" t="s">
        <v>24</v>
      </c>
      <c r="D9" s="8" t="s">
        <v>1004</v>
      </c>
      <c r="E9" s="8" t="s">
        <v>1005</v>
      </c>
    </row>
    <row r="10" spans="1:5" ht="30" customHeight="1" x14ac:dyDescent="0.25">
      <c r="A10" s="2" t="s">
        <v>1006</v>
      </c>
      <c r="B10" s="8" t="s">
        <v>1007</v>
      </c>
      <c r="C10" s="7" t="s">
        <v>50</v>
      </c>
      <c r="D10" s="8" t="s">
        <v>1008</v>
      </c>
      <c r="E10" s="8" t="s">
        <v>1009</v>
      </c>
    </row>
    <row r="11" spans="1:5" ht="30" customHeight="1" x14ac:dyDescent="0.25">
      <c r="A11" s="2" t="s">
        <v>1010</v>
      </c>
      <c r="B11" s="8" t="s">
        <v>1011</v>
      </c>
      <c r="C11" s="6" t="s">
        <v>24</v>
      </c>
      <c r="D11" s="8" t="s">
        <v>1012</v>
      </c>
      <c r="E11" s="8" t="s">
        <v>1013</v>
      </c>
    </row>
    <row r="12" spans="1:5" ht="30" customHeight="1" x14ac:dyDescent="0.25">
      <c r="A12" s="2" t="s">
        <v>1014</v>
      </c>
      <c r="B12" s="8" t="s">
        <v>1015</v>
      </c>
      <c r="C12" s="6" t="s">
        <v>24</v>
      </c>
      <c r="D12" s="8" t="s">
        <v>1016</v>
      </c>
      <c r="E12" s="8" t="s">
        <v>1017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48235"/>
  </sheetPr>
  <dimension ref="A1:E16"/>
  <sheetViews>
    <sheetView showGridLines="0" workbookViewId="0"/>
  </sheetViews>
  <sheetFormatPr defaultRowHeight="15" x14ac:dyDescent="0.25"/>
  <cols>
    <col min="1" max="1" width="9" customWidth="1"/>
    <col min="2" max="2" width="70" customWidth="1"/>
    <col min="3" max="3" width="28" customWidth="1"/>
    <col min="4" max="4" width="26" customWidth="1"/>
    <col min="5" max="5" width="48" customWidth="1"/>
  </cols>
  <sheetData>
    <row r="1" spans="1:5" ht="30" customHeight="1" x14ac:dyDescent="0.25">
      <c r="A1" s="23" t="s">
        <v>1018</v>
      </c>
      <c r="B1" s="14"/>
      <c r="C1" s="14"/>
      <c r="D1" s="14"/>
      <c r="E1" s="14"/>
    </row>
    <row r="2" spans="1:5" ht="18" customHeight="1" x14ac:dyDescent="0.25">
      <c r="A2" s="28" t="s">
        <v>1019</v>
      </c>
      <c r="B2" s="14"/>
      <c r="C2" s="14"/>
      <c r="D2" s="14"/>
      <c r="E2" s="14"/>
    </row>
    <row r="4" spans="1:5" x14ac:dyDescent="0.25">
      <c r="A4" s="1" t="s">
        <v>1020</v>
      </c>
      <c r="B4" s="1" t="s">
        <v>951</v>
      </c>
      <c r="C4" s="1" t="s">
        <v>1021</v>
      </c>
      <c r="D4" s="1" t="s">
        <v>1022</v>
      </c>
      <c r="E4" s="1" t="s">
        <v>1023</v>
      </c>
    </row>
    <row r="5" spans="1:5" ht="39.950000000000003" customHeight="1" x14ac:dyDescent="0.25">
      <c r="A5" s="12" t="s">
        <v>1024</v>
      </c>
      <c r="B5" s="8" t="s">
        <v>1025</v>
      </c>
      <c r="C5" s="8" t="s">
        <v>1026</v>
      </c>
      <c r="D5" s="8" t="s">
        <v>1027</v>
      </c>
      <c r="E5" s="8" t="s">
        <v>1028</v>
      </c>
    </row>
    <row r="6" spans="1:5" ht="39.950000000000003" customHeight="1" x14ac:dyDescent="0.25">
      <c r="A6" s="12" t="s">
        <v>1024</v>
      </c>
      <c r="B6" s="8" t="s">
        <v>1029</v>
      </c>
      <c r="C6" s="8" t="s">
        <v>1030</v>
      </c>
      <c r="D6" s="8" t="s">
        <v>1031</v>
      </c>
      <c r="E6" s="8" t="s">
        <v>1032</v>
      </c>
    </row>
    <row r="7" spans="1:5" ht="39.950000000000003" customHeight="1" x14ac:dyDescent="0.25">
      <c r="A7" s="12" t="s">
        <v>1033</v>
      </c>
      <c r="B7" s="8" t="s">
        <v>1034</v>
      </c>
      <c r="C7" s="8" t="s">
        <v>7</v>
      </c>
      <c r="D7" s="8" t="s">
        <v>1035</v>
      </c>
      <c r="E7" s="8" t="s">
        <v>1036</v>
      </c>
    </row>
    <row r="8" spans="1:5" ht="39.950000000000003" customHeight="1" x14ac:dyDescent="0.25">
      <c r="A8" s="12" t="s">
        <v>1033</v>
      </c>
      <c r="B8" s="8" t="s">
        <v>1037</v>
      </c>
      <c r="C8" s="8" t="s">
        <v>1038</v>
      </c>
      <c r="D8" s="8" t="s">
        <v>1039</v>
      </c>
      <c r="E8" s="8" t="s">
        <v>1040</v>
      </c>
    </row>
    <row r="9" spans="1:5" ht="39.950000000000003" customHeight="1" x14ac:dyDescent="0.25">
      <c r="A9" s="12" t="s">
        <v>1033</v>
      </c>
      <c r="B9" s="8" t="s">
        <v>1041</v>
      </c>
      <c r="C9" s="8" t="s">
        <v>1042</v>
      </c>
      <c r="D9" s="8" t="s">
        <v>1043</v>
      </c>
      <c r="E9" s="8" t="s">
        <v>1044</v>
      </c>
    </row>
    <row r="10" spans="1:5" ht="39.950000000000003" customHeight="1" x14ac:dyDescent="0.25">
      <c r="A10" s="12" t="s">
        <v>1045</v>
      </c>
      <c r="B10" s="8" t="s">
        <v>1046</v>
      </c>
      <c r="C10" s="8" t="s">
        <v>8</v>
      </c>
      <c r="D10" s="8" t="s">
        <v>1047</v>
      </c>
      <c r="E10" s="8" t="s">
        <v>1048</v>
      </c>
    </row>
    <row r="11" spans="1:5" ht="39.950000000000003" customHeight="1" x14ac:dyDescent="0.25">
      <c r="A11" s="12" t="s">
        <v>1045</v>
      </c>
      <c r="B11" s="8" t="s">
        <v>1049</v>
      </c>
      <c r="C11" s="8" t="s">
        <v>1050</v>
      </c>
      <c r="D11" s="8" t="s">
        <v>1051</v>
      </c>
      <c r="E11" s="8" t="s">
        <v>1052</v>
      </c>
    </row>
    <row r="12" spans="1:5" ht="39.950000000000003" customHeight="1" x14ac:dyDescent="0.25">
      <c r="A12" s="12" t="s">
        <v>1045</v>
      </c>
      <c r="B12" s="8" t="s">
        <v>1053</v>
      </c>
      <c r="C12" s="8" t="s">
        <v>1054</v>
      </c>
      <c r="D12" s="8" t="s">
        <v>1055</v>
      </c>
      <c r="E12" s="8" t="s">
        <v>1056</v>
      </c>
    </row>
    <row r="13" spans="1:5" ht="39.950000000000003" customHeight="1" x14ac:dyDescent="0.25">
      <c r="A13" s="12" t="s">
        <v>1045</v>
      </c>
      <c r="B13" s="8" t="s">
        <v>1057</v>
      </c>
      <c r="C13" s="8" t="s">
        <v>1058</v>
      </c>
      <c r="D13" s="8" t="s">
        <v>1059</v>
      </c>
      <c r="E13" s="8" t="s">
        <v>1060</v>
      </c>
    </row>
    <row r="14" spans="1:5" ht="39.950000000000003" customHeight="1" x14ac:dyDescent="0.25">
      <c r="A14" s="12" t="s">
        <v>1061</v>
      </c>
      <c r="B14" s="8" t="s">
        <v>1062</v>
      </c>
      <c r="C14" s="8" t="s">
        <v>1063</v>
      </c>
      <c r="D14" s="8" t="s">
        <v>1027</v>
      </c>
      <c r="E14" s="8" t="s">
        <v>1064</v>
      </c>
    </row>
    <row r="15" spans="1:5" ht="39.950000000000003" customHeight="1" x14ac:dyDescent="0.25">
      <c r="A15" s="12" t="s">
        <v>1061</v>
      </c>
      <c r="B15" s="8" t="s">
        <v>1065</v>
      </c>
      <c r="C15" s="8" t="s">
        <v>1066</v>
      </c>
      <c r="D15" s="8" t="s">
        <v>1067</v>
      </c>
      <c r="E15" s="8" t="s">
        <v>1068</v>
      </c>
    </row>
    <row r="16" spans="1:5" ht="39.950000000000003" customHeight="1" x14ac:dyDescent="0.25">
      <c r="A16" s="12" t="s">
        <v>1061</v>
      </c>
      <c r="B16" s="8" t="s">
        <v>1069</v>
      </c>
      <c r="C16" s="8" t="s">
        <v>1070</v>
      </c>
      <c r="D16" s="8" t="s">
        <v>1071</v>
      </c>
      <c r="E16" s="8" t="s">
        <v>1072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 Summary</vt:lpstr>
      <vt:lpstr>Product SEO</vt:lpstr>
      <vt:lpstr>Collection SEO</vt:lpstr>
      <vt:lpstr>Technical SEO</vt:lpstr>
      <vt:lpstr>Pages &amp; Blog</vt:lpstr>
      <vt:lpstr>Local SEO &amp; Entity</vt:lpstr>
      <vt:lpstr>AEO Readiness</vt:lpstr>
      <vt:lpstr>Fix Roadmap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Horsley</cp:lastModifiedBy>
  <dcterms:created xsi:type="dcterms:W3CDTF">2026-06-11T02:11:59Z</dcterms:created>
  <dcterms:modified xsi:type="dcterms:W3CDTF">2026-06-11T02:12:22Z</dcterms:modified>
</cp:coreProperties>
</file>