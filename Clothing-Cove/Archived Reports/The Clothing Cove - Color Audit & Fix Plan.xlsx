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roduct Type" sheetId="2" state="visible" r:id="rId2"/>
    <sheet xmlns:r="http://schemas.openxmlformats.org/officeDocument/2006/relationships" name="Color Values" sheetId="3" state="visible" r:id="rId3"/>
    <sheet xmlns:r="http://schemas.openxmlformats.org/officeDocument/2006/relationships" name="Metafield Status" sheetId="4" state="visible" r:id="rId4"/>
    <sheet xmlns:r="http://schemas.openxmlformats.org/officeDocument/2006/relationships" name="Fix Roadmap" sheetId="5" state="visible" r:id="rId5"/>
  </sheets>
  <definedNames>
    <definedName name="_xlnm._FilterDatabase" localSheetId="1" hidden="1">'By Product Type'!$A$1:$G$86</definedName>
    <definedName name="_xlnm._FilterDatabase" localSheetId="2" hidden="1">'Color Values'!$A$1:$D$51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2C3E50"/>
      <sz val="16"/>
    </font>
    <font>
      <name val="Arial"/>
      <color rgb="007F8C8D"/>
      <sz val="10"/>
    </font>
    <font>
      <name val="Arial"/>
      <b val="1"/>
      <color rgb="002C3E50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5DBDB"/>
      </patternFill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ECF0F1"/>
      </patternFill>
    </fill>
  </fills>
  <borders count="2">
    <border>
      <left/>
      <right/>
      <top/>
      <bottom/>
      <diagonal/>
    </border>
    <border>
      <bottom style="thin">
        <color rgb="00BDC3C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0" fillId="0" borderId="1" pivotButton="0" quotePrefix="0" xfId="0"/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6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pivotButton="0" quotePrefix="0" xfId="0"/>
    <xf numFmtId="164" fontId="4" fillId="4" borderId="1" pivotButton="0" quotePrefix="0" xfId="0"/>
    <xf numFmtId="0" fontId="4" fillId="5" borderId="1" applyAlignment="1" pivotButton="0" quotePrefix="0" xfId="0">
      <alignment horizontal="left" vertical="center"/>
    </xf>
    <xf numFmtId="3" fontId="4" fillId="5" borderId="1" pivotButton="0" quotePrefix="0" xfId="0"/>
    <xf numFmtId="164" fontId="4" fillId="5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  <xf numFmtId="3" fontId="4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</cols>
  <sheetData>
    <row r="1">
      <c r="A1" s="1" t="inlineStr">
        <is>
          <t>The Clothing Cove — Color Audit Report</t>
        </is>
      </c>
    </row>
    <row r="2">
      <c r="A2" s="2" t="inlineStr">
        <is>
          <t>Store: the-clothing-cove-store.myshopify.com</t>
        </is>
      </c>
    </row>
    <row r="3">
      <c r="A3" s="2" t="inlineStr">
        <is>
          <t>Audit Date: May 18, 2026</t>
        </is>
      </c>
    </row>
    <row r="5">
      <c r="A5" s="3" t="inlineStr">
        <is>
          <t>CATALOG OVERVIEW</t>
        </is>
      </c>
      <c r="B5" s="4" t="n"/>
      <c r="C5" s="4" t="n"/>
    </row>
    <row r="6">
      <c r="A6" s="5" t="inlineStr">
        <is>
          <t>Total active products</t>
        </is>
      </c>
      <c r="B6" s="6" t="n">
        <v>35721</v>
      </c>
      <c r="C6" s="7" t="n"/>
    </row>
    <row r="7">
      <c r="A7" s="5" t="inlineStr">
        <is>
          <t>In stock</t>
        </is>
      </c>
      <c r="B7" s="6" t="n">
        <v>11747</v>
      </c>
      <c r="C7" s="8">
        <f>B7/B6</f>
        <v/>
      </c>
    </row>
    <row r="8">
      <c r="A8" s="5" t="inlineStr">
        <is>
          <t>Out of stock</t>
        </is>
      </c>
      <c r="B8" s="6" t="n">
        <v>23974</v>
      </c>
      <c r="C8" s="8">
        <f>B8/B6</f>
        <v/>
      </c>
    </row>
    <row r="9">
      <c r="A9" s="5" t="inlineStr">
        <is>
          <t>Default Title (no options)</t>
        </is>
      </c>
      <c r="B9" s="6" t="n">
        <v>17245</v>
      </c>
      <c r="C9" s="8">
        <f>B9/B6</f>
        <v/>
      </c>
    </row>
    <row r="11">
      <c r="A11" s="3" t="inlineStr">
        <is>
          <t>COLOR OPTION STATUS</t>
        </is>
      </c>
      <c r="B11" s="4" t="n"/>
      <c r="C11" s="4" t="n"/>
    </row>
    <row r="12">
      <c r="A12" s="5" t="inlineStr">
        <is>
          <t>Products WITH Color option</t>
        </is>
      </c>
      <c r="B12" s="6" t="n">
        <v>16783</v>
      </c>
      <c r="C12" s="8">
        <f>B12/B6</f>
        <v/>
      </c>
    </row>
    <row r="13">
      <c r="A13" s="5" t="inlineStr">
        <is>
          <t>Products WITHOUT Color option</t>
        </is>
      </c>
      <c r="B13" s="6" t="n">
        <v>18938</v>
      </c>
      <c r="C13" s="8">
        <f>B13/B6</f>
        <v/>
      </c>
    </row>
    <row r="14">
      <c r="A14" s="5" t="inlineStr">
        <is>
          <t>In-stock WITH color</t>
        </is>
      </c>
      <c r="B14" s="6" t="n">
        <v>5420</v>
      </c>
      <c r="C14" s="8">
        <f>B14/B7</f>
        <v/>
      </c>
    </row>
    <row r="15">
      <c r="A15" s="5" t="inlineStr">
        <is>
          <t>In-stock WITHOUT color</t>
        </is>
      </c>
      <c r="B15" s="6" t="n">
        <v>6327</v>
      </c>
      <c r="C15" s="8">
        <f>B15/B7</f>
        <v/>
      </c>
    </row>
    <row r="17">
      <c r="A17" s="3" t="inlineStr">
        <is>
          <t>COLOR OPTION NAMING</t>
        </is>
      </c>
      <c r="B17" s="4" t="n"/>
      <c r="C17" s="4" t="n"/>
    </row>
    <row r="18">
      <c r="A18" s="5" t="inlineStr">
        <is>
          <t>Option name "Color"</t>
        </is>
      </c>
      <c r="B18" s="6" t="n">
        <v>12747</v>
      </c>
      <c r="C18" s="8">
        <f>B18/B12</f>
        <v/>
      </c>
    </row>
    <row r="19">
      <c r="A19" s="5" t="inlineStr">
        <is>
          <t>Option name "COLOR"</t>
        </is>
      </c>
      <c r="B19" s="6" t="n">
        <v>4019</v>
      </c>
      <c r="C19" s="8">
        <f>B19/B12</f>
        <v/>
      </c>
    </row>
    <row r="20">
      <c r="A20" s="5" t="inlineStr">
        <is>
          <t>Option name "color"</t>
        </is>
      </c>
      <c r="B20" s="6" t="n">
        <v>17</v>
      </c>
      <c r="C20" s="8">
        <f>B20/B12</f>
        <v/>
      </c>
    </row>
    <row r="22">
      <c r="A22" s="3" t="inlineStr">
        <is>
          <t>METADATA STATUS</t>
        </is>
      </c>
      <c r="B22" s="4" t="n"/>
      <c r="C22" s="4" t="n"/>
    </row>
    <row r="23">
      <c r="A23" s="5" t="inlineStr">
        <is>
          <t>Products with shopify.color-pattern metafield</t>
        </is>
      </c>
      <c r="B23" s="6" t="n">
        <v>1374</v>
      </c>
      <c r="C23" s="9" t="inlineStr">
        <is>
          <t>3.8%</t>
        </is>
      </c>
    </row>
    <row r="24">
      <c r="A24" s="5" t="inlineStr">
        <is>
          <t>Unique color metaobject references</t>
        </is>
      </c>
      <c r="B24" s="6" t="n">
        <v>405</v>
      </c>
      <c r="C24" s="7" t="n"/>
    </row>
    <row r="25">
      <c r="A25" s="5" t="inlineStr">
        <is>
          <t>Unique color option values</t>
        </is>
      </c>
      <c r="B25" s="6" t="n">
        <v>6052</v>
      </c>
      <c r="C25" s="7" t="n"/>
    </row>
    <row r="26">
      <c r="A26" s="5" t="inlineStr">
        <is>
          <t>Products with ANY shopify.* metafield</t>
        </is>
      </c>
      <c r="B26" s="6" t="n">
        <v>1514</v>
      </c>
      <c r="C26" s="9" t="inlineStr">
        <is>
          <t>4.2%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>
      <c r="A1" s="10" t="inlineStr">
        <is>
          <t>Product Type</t>
        </is>
      </c>
      <c r="B1" s="10" t="inlineStr">
        <is>
          <t>Total Products</t>
        </is>
      </c>
      <c r="C1" s="10" t="inlineStr">
        <is>
          <t>In Stock</t>
        </is>
      </c>
      <c r="D1" s="10" t="inlineStr">
        <is>
          <t>Has Color Option</t>
        </is>
      </c>
      <c r="E1" s="10" t="inlineStr">
        <is>
          <t>In Stock + Color</t>
        </is>
      </c>
      <c r="F1" s="10" t="inlineStr">
        <is>
          <t>Color Coverage %</t>
        </is>
      </c>
      <c r="G1" s="10" t="inlineStr">
        <is>
          <t>In-Stock Color Coverage %</t>
        </is>
      </c>
    </row>
    <row r="2">
      <c r="A2" s="11" t="inlineStr">
        <is>
          <t>J E W</t>
        </is>
      </c>
      <c r="B2" s="12" t="n">
        <v>12798</v>
      </c>
      <c r="C2" s="12" t="n">
        <v>3991</v>
      </c>
      <c r="D2" s="12" t="n">
        <v>3551</v>
      </c>
      <c r="E2" s="12" t="n">
        <v>1056</v>
      </c>
      <c r="F2" s="13">
        <f>IF(B2=0,"-",D2/B2)</f>
        <v/>
      </c>
      <c r="G2" s="13">
        <f>IF(C2=0,"-",E2/C2)</f>
        <v/>
      </c>
    </row>
    <row r="3">
      <c r="A3" s="14" t="inlineStr">
        <is>
          <t>H O A</t>
        </is>
      </c>
      <c r="B3" s="15" t="n">
        <v>3880</v>
      </c>
      <c r="C3" s="15" t="n">
        <v>1599</v>
      </c>
      <c r="D3" s="15" t="n">
        <v>649</v>
      </c>
      <c r="E3" s="15" t="n">
        <v>298</v>
      </c>
      <c r="F3" s="16">
        <f>IF(B3=0,"-",D3/B3)</f>
        <v/>
      </c>
      <c r="G3" s="16">
        <f>IF(C3=0,"-",E3/C3)</f>
        <v/>
      </c>
    </row>
    <row r="4">
      <c r="A4" s="11" t="inlineStr">
        <is>
          <t>B A G</t>
        </is>
      </c>
      <c r="B4" s="12" t="n">
        <v>2247</v>
      </c>
      <c r="C4" s="12" t="n">
        <v>628</v>
      </c>
      <c r="D4" s="12" t="n">
        <v>1479</v>
      </c>
      <c r="E4" s="12" t="n">
        <v>465</v>
      </c>
      <c r="F4" s="13">
        <f>IF(B4=0,"-",D4/B4)</f>
        <v/>
      </c>
      <c r="G4" s="13">
        <f>IF(C4=0,"-",E4/C4)</f>
        <v/>
      </c>
    </row>
    <row r="5">
      <c r="A5" s="14" t="inlineStr">
        <is>
          <t>T O C</t>
        </is>
      </c>
      <c r="B5" s="15" t="n">
        <v>2019</v>
      </c>
      <c r="C5" s="15" t="n">
        <v>488</v>
      </c>
      <c r="D5" s="15" t="n">
        <v>1798</v>
      </c>
      <c r="E5" s="15" t="n">
        <v>448</v>
      </c>
      <c r="F5" s="16">
        <f>IF(B5=0,"-",D5/B5)</f>
        <v/>
      </c>
      <c r="G5" s="16">
        <f>IF(C5=0,"-",E5/C5)</f>
        <v/>
      </c>
    </row>
    <row r="6">
      <c r="A6" s="11" t="inlineStr">
        <is>
          <t>A C C</t>
        </is>
      </c>
      <c r="B6" s="12" t="n">
        <v>1911</v>
      </c>
      <c r="C6" s="12" t="n">
        <v>739</v>
      </c>
      <c r="D6" s="12" t="n">
        <v>827</v>
      </c>
      <c r="E6" s="12" t="n">
        <v>311</v>
      </c>
      <c r="F6" s="13">
        <f>IF(B6=0,"-",D6/B6)</f>
        <v/>
      </c>
      <c r="G6" s="13">
        <f>IF(C6=0,"-",E6/C6)</f>
        <v/>
      </c>
    </row>
    <row r="7">
      <c r="A7" s="14" t="inlineStr">
        <is>
          <t>J A K</t>
        </is>
      </c>
      <c r="B7" s="15" t="n">
        <v>1270</v>
      </c>
      <c r="C7" s="15" t="n">
        <v>251</v>
      </c>
      <c r="D7" s="15" t="n">
        <v>1079</v>
      </c>
      <c r="E7" s="15" t="n">
        <v>232</v>
      </c>
      <c r="F7" s="16">
        <f>IF(B7=0,"-",D7/B7)</f>
        <v/>
      </c>
      <c r="G7" s="16">
        <f>IF(C7=0,"-",E7/C7)</f>
        <v/>
      </c>
    </row>
    <row r="8">
      <c r="A8" s="11" t="inlineStr">
        <is>
          <t>S O M</t>
        </is>
      </c>
      <c r="B8" s="12" t="n">
        <v>905</v>
      </c>
      <c r="C8" s="12" t="n">
        <v>408</v>
      </c>
      <c r="D8" s="12" t="n">
        <v>893</v>
      </c>
      <c r="E8" s="12" t="n">
        <v>403</v>
      </c>
      <c r="F8" s="13">
        <f>IF(B8=0,"-",D8/B8)</f>
        <v/>
      </c>
      <c r="G8" s="13">
        <f>IF(C8=0,"-",E8/C8)</f>
        <v/>
      </c>
    </row>
    <row r="9">
      <c r="A9" s="14" t="inlineStr">
        <is>
          <t>C H A</t>
        </is>
      </c>
      <c r="B9" s="15" t="n">
        <v>891</v>
      </c>
      <c r="C9" s="15" t="n">
        <v>382</v>
      </c>
      <c r="D9" s="15" t="n">
        <v>127</v>
      </c>
      <c r="E9" s="15" t="n">
        <v>61</v>
      </c>
      <c r="F9" s="16">
        <f>IF(B9=0,"-",D9/B9)</f>
        <v/>
      </c>
      <c r="G9" s="16">
        <f>IF(C9=0,"-",E9/C9)</f>
        <v/>
      </c>
    </row>
    <row r="10">
      <c r="A10" s="11" t="inlineStr">
        <is>
          <t>B A B</t>
        </is>
      </c>
      <c r="B10" s="12" t="n">
        <v>778</v>
      </c>
      <c r="C10" s="12" t="n">
        <v>273</v>
      </c>
      <c r="D10" s="12" t="n">
        <v>208</v>
      </c>
      <c r="E10" s="12" t="n">
        <v>54</v>
      </c>
      <c r="F10" s="13">
        <f>IF(B10=0,"-",D10/B10)</f>
        <v/>
      </c>
      <c r="G10" s="13">
        <f>IF(C10=0,"-",E10/C10)</f>
        <v/>
      </c>
    </row>
    <row r="11">
      <c r="A11" s="14" t="inlineStr">
        <is>
          <t>C H H</t>
        </is>
      </c>
      <c r="B11" s="15" t="n">
        <v>707</v>
      </c>
      <c r="C11" s="15" t="n">
        <v>205</v>
      </c>
      <c r="D11" s="15" t="n">
        <v>99</v>
      </c>
      <c r="E11" s="15" t="n">
        <v>40</v>
      </c>
      <c r="F11" s="16">
        <f>IF(B11=0,"-",D11/B11)</f>
        <v/>
      </c>
      <c r="G11" s="16">
        <f>IF(C11=0,"-",E11/C11)</f>
        <v/>
      </c>
    </row>
    <row r="12">
      <c r="A12" s="11" t="inlineStr">
        <is>
          <t>D R C</t>
        </is>
      </c>
      <c r="B12" s="12" t="n">
        <v>616</v>
      </c>
      <c r="C12" s="12" t="n">
        <v>163</v>
      </c>
      <c r="D12" s="12" t="n">
        <v>533</v>
      </c>
      <c r="E12" s="12" t="n">
        <v>152</v>
      </c>
      <c r="F12" s="13">
        <f>IF(B12=0,"-",D12/B12)</f>
        <v/>
      </c>
      <c r="G12" s="13">
        <f>IF(C12=0,"-",E12/C12)</f>
        <v/>
      </c>
    </row>
    <row r="13">
      <c r="A13" s="14" t="inlineStr">
        <is>
          <t>S O X</t>
        </is>
      </c>
      <c r="B13" s="15" t="n">
        <v>507</v>
      </c>
      <c r="C13" s="15" t="n">
        <v>169</v>
      </c>
      <c r="D13" s="15" t="n">
        <v>200</v>
      </c>
      <c r="E13" s="15" t="n">
        <v>62</v>
      </c>
      <c r="F13" s="16">
        <f>IF(B13=0,"-",D13/B13)</f>
        <v/>
      </c>
      <c r="G13" s="16">
        <f>IF(C13=0,"-",E13/C13)</f>
        <v/>
      </c>
    </row>
    <row r="14">
      <c r="A14" s="11" t="inlineStr">
        <is>
          <t>P A M</t>
        </is>
      </c>
      <c r="B14" s="12" t="n">
        <v>485</v>
      </c>
      <c r="C14" s="12" t="n">
        <v>175</v>
      </c>
      <c r="D14" s="12" t="n">
        <v>474</v>
      </c>
      <c r="E14" s="12" t="n">
        <v>174</v>
      </c>
      <c r="F14" s="13">
        <f>IF(B14=0,"-",D14/B14)</f>
        <v/>
      </c>
      <c r="G14" s="13">
        <f>IF(C14=0,"-",E14/C14)</f>
        <v/>
      </c>
    </row>
    <row r="15">
      <c r="A15" s="14" t="inlineStr">
        <is>
          <t>K N W</t>
        </is>
      </c>
      <c r="B15" s="15" t="n">
        <v>468</v>
      </c>
      <c r="C15" s="15" t="n">
        <v>115</v>
      </c>
      <c r="D15" s="15" t="n">
        <v>404</v>
      </c>
      <c r="E15" s="15" t="n">
        <v>104</v>
      </c>
      <c r="F15" s="16">
        <f>IF(B15=0,"-",D15/B15)</f>
        <v/>
      </c>
      <c r="G15" s="16">
        <f>IF(C15=0,"-",E15/C15)</f>
        <v/>
      </c>
    </row>
    <row r="16">
      <c r="A16" s="11" t="inlineStr">
        <is>
          <t>S H O</t>
        </is>
      </c>
      <c r="B16" s="12" t="n">
        <v>456</v>
      </c>
      <c r="C16" s="12" t="n">
        <v>219</v>
      </c>
      <c r="D16" s="12" t="n">
        <v>415</v>
      </c>
      <c r="E16" s="12" t="n">
        <v>185</v>
      </c>
      <c r="F16" s="13">
        <f>IF(B16=0,"-",D16/B16)</f>
        <v/>
      </c>
      <c r="G16" s="13">
        <f>IF(C16=0,"-",E16/C16)</f>
        <v/>
      </c>
    </row>
    <row r="17">
      <c r="A17" s="14" t="inlineStr">
        <is>
          <t>S O C</t>
        </is>
      </c>
      <c r="B17" s="15" t="n">
        <v>456</v>
      </c>
      <c r="C17" s="15" t="n">
        <v>208</v>
      </c>
      <c r="D17" s="15" t="n">
        <v>446</v>
      </c>
      <c r="E17" s="15" t="n">
        <v>202</v>
      </c>
      <c r="F17" s="16">
        <f>IF(B17=0,"-",D17/B17)</f>
        <v/>
      </c>
      <c r="G17" s="16">
        <f>IF(C17=0,"-",E17/C17)</f>
        <v/>
      </c>
    </row>
    <row r="18">
      <c r="A18" s="11" t="inlineStr">
        <is>
          <t>A C S</t>
        </is>
      </c>
      <c r="B18" s="12" t="n">
        <v>448</v>
      </c>
      <c r="C18" s="12" t="n">
        <v>148</v>
      </c>
      <c r="D18" s="12" t="n">
        <v>292</v>
      </c>
      <c r="E18" s="12" t="n">
        <v>121</v>
      </c>
      <c r="F18" s="13">
        <f>IF(B18=0,"-",D18/B18)</f>
        <v/>
      </c>
      <c r="G18" s="13">
        <f>IF(C18=0,"-",E18/C18)</f>
        <v/>
      </c>
    </row>
    <row r="19">
      <c r="A19" s="14" t="inlineStr">
        <is>
          <t>H A T</t>
        </is>
      </c>
      <c r="B19" s="15" t="n">
        <v>407</v>
      </c>
      <c r="C19" s="15" t="n">
        <v>80</v>
      </c>
      <c r="D19" s="15" t="n">
        <v>329</v>
      </c>
      <c r="E19" s="15" t="n">
        <v>55</v>
      </c>
      <c r="F19" s="16">
        <f>IF(B19=0,"-",D19/B19)</f>
        <v/>
      </c>
      <c r="G19" s="16">
        <f>IF(C19=0,"-",E19/C19)</f>
        <v/>
      </c>
    </row>
    <row r="20">
      <c r="A20" s="11" t="inlineStr">
        <is>
          <t>W A L</t>
        </is>
      </c>
      <c r="B20" s="12" t="n">
        <v>393</v>
      </c>
      <c r="C20" s="12" t="n">
        <v>92</v>
      </c>
      <c r="D20" s="12" t="n">
        <v>221</v>
      </c>
      <c r="E20" s="12" t="n">
        <v>36</v>
      </c>
      <c r="F20" s="13">
        <f>IF(B20=0,"-",D20/B20)</f>
        <v/>
      </c>
      <c r="G20" s="13">
        <f>IF(C20=0,"-",E20/C20)</f>
        <v/>
      </c>
    </row>
    <row r="21">
      <c r="A21" s="14" t="inlineStr">
        <is>
          <t>T O B</t>
        </is>
      </c>
      <c r="B21" s="15" t="n">
        <v>311</v>
      </c>
      <c r="C21" s="15" t="n">
        <v>122</v>
      </c>
      <c r="D21" s="15" t="n">
        <v>298</v>
      </c>
      <c r="E21" s="15" t="n">
        <v>122</v>
      </c>
      <c r="F21" s="16">
        <f>IF(B21=0,"-",D21/B21)</f>
        <v/>
      </c>
      <c r="G21" s="16">
        <f>IF(C21=0,"-",E21/C21)</f>
        <v/>
      </c>
    </row>
    <row r="22">
      <c r="A22" s="11" t="inlineStr">
        <is>
          <t>D R E</t>
        </is>
      </c>
      <c r="B22" s="12" t="n">
        <v>265</v>
      </c>
      <c r="C22" s="12" t="n">
        <v>55</v>
      </c>
      <c r="D22" s="12" t="n">
        <v>213</v>
      </c>
      <c r="E22" s="12" t="n">
        <v>53</v>
      </c>
      <c r="F22" s="13">
        <f>IF(B22=0,"-",D22/B22)</f>
        <v/>
      </c>
      <c r="G22" s="13">
        <f>IF(C22=0,"-",E22/C22)</f>
        <v/>
      </c>
    </row>
    <row r="23">
      <c r="A23" s="14" t="inlineStr">
        <is>
          <t>T O P</t>
        </is>
      </c>
      <c r="B23" s="15" t="n">
        <v>263</v>
      </c>
      <c r="C23" s="15" t="n">
        <v>50</v>
      </c>
      <c r="D23" s="15" t="n">
        <v>233</v>
      </c>
      <c r="E23" s="15" t="n">
        <v>50</v>
      </c>
      <c r="F23" s="16">
        <f>IF(B23=0,"-",D23/B23)</f>
        <v/>
      </c>
      <c r="G23" s="16">
        <f>IF(C23=0,"-",E23/C23)</f>
        <v/>
      </c>
    </row>
    <row r="24">
      <c r="A24" s="11" t="inlineStr">
        <is>
          <t>P A J</t>
        </is>
      </c>
      <c r="B24" s="12" t="n">
        <v>251</v>
      </c>
      <c r="C24" s="12" t="n">
        <v>82</v>
      </c>
      <c r="D24" s="12" t="n">
        <v>216</v>
      </c>
      <c r="E24" s="12" t="n">
        <v>72</v>
      </c>
      <c r="F24" s="13">
        <f>IF(B24=0,"-",D24/B24)</f>
        <v/>
      </c>
      <c r="G24" s="13">
        <f>IF(C24=0,"-",E24/C24)</f>
        <v/>
      </c>
    </row>
    <row r="25">
      <c r="A25" s="14" t="inlineStr">
        <is>
          <t>R D R</t>
        </is>
      </c>
      <c r="B25" s="15" t="n">
        <v>229</v>
      </c>
      <c r="C25" s="15" t="n">
        <v>121</v>
      </c>
      <c r="D25" s="15" t="n">
        <v>87</v>
      </c>
      <c r="E25" s="15" t="n">
        <v>56</v>
      </c>
      <c r="F25" s="16">
        <f>IF(B25=0,"-",D25/B25)</f>
        <v/>
      </c>
      <c r="G25" s="16">
        <f>IF(C25=0,"-",E25/C25)</f>
        <v/>
      </c>
    </row>
    <row r="26">
      <c r="A26" s="11" t="inlineStr">
        <is>
          <t>A C H</t>
        </is>
      </c>
      <c r="B26" s="12" t="n">
        <v>219</v>
      </c>
      <c r="C26" s="12" t="n">
        <v>132</v>
      </c>
      <c r="D26" s="12" t="n">
        <v>62</v>
      </c>
      <c r="E26" s="12" t="n">
        <v>36</v>
      </c>
      <c r="F26" s="13">
        <f>IF(B26=0,"-",D26/B26)</f>
        <v/>
      </c>
      <c r="G26" s="13">
        <f>IF(C26=0,"-",E26/C26)</f>
        <v/>
      </c>
    </row>
    <row r="27">
      <c r="A27" s="14" t="inlineStr">
        <is>
          <t>S L P</t>
        </is>
      </c>
      <c r="B27" s="15" t="n">
        <v>211</v>
      </c>
      <c r="C27" s="15" t="n">
        <v>73</v>
      </c>
      <c r="D27" s="15" t="n">
        <v>76</v>
      </c>
      <c r="E27" s="15" t="n">
        <v>23</v>
      </c>
      <c r="F27" s="16">
        <f>IF(B27=0,"-",D27/B27)</f>
        <v/>
      </c>
      <c r="G27" s="16">
        <f>IF(C27=0,"-",E27/C27)</f>
        <v/>
      </c>
    </row>
    <row r="28">
      <c r="A28" s="11" t="inlineStr">
        <is>
          <t>S U N</t>
        </is>
      </c>
      <c r="B28" s="12" t="n">
        <v>205</v>
      </c>
      <c r="C28" s="12" t="n">
        <v>111</v>
      </c>
      <c r="D28" s="12" t="n">
        <v>93</v>
      </c>
      <c r="E28" s="12" t="n">
        <v>55</v>
      </c>
      <c r="F28" s="13">
        <f>IF(B28=0,"-",D28/B28)</f>
        <v/>
      </c>
      <c r="G28" s="13">
        <f>IF(C28=0,"-",E28/C28)</f>
        <v/>
      </c>
    </row>
    <row r="29">
      <c r="A29" s="14" t="inlineStr">
        <is>
          <t>(empty)</t>
        </is>
      </c>
      <c r="B29" s="15" t="n">
        <v>165</v>
      </c>
      <c r="C29" s="15" t="n">
        <v>49</v>
      </c>
      <c r="D29" s="15" t="n">
        <v>81</v>
      </c>
      <c r="E29" s="15" t="n">
        <v>29</v>
      </c>
      <c r="F29" s="16">
        <f>IF(B29=0,"-",D29/B29)</f>
        <v/>
      </c>
      <c r="G29" s="16">
        <f>IF(C29=0,"-",E29/C29)</f>
        <v/>
      </c>
    </row>
    <row r="30">
      <c r="A30" s="11" t="inlineStr">
        <is>
          <t>T A N</t>
        </is>
      </c>
      <c r="B30" s="12" t="n">
        <v>151</v>
      </c>
      <c r="C30" s="12" t="n">
        <v>51</v>
      </c>
      <c r="D30" s="12" t="n">
        <v>145</v>
      </c>
      <c r="E30" s="12" t="n">
        <v>51</v>
      </c>
      <c r="F30" s="13">
        <f>IF(B30=0,"-",D30/B30)</f>
        <v/>
      </c>
      <c r="G30" s="13">
        <f>IF(C30=0,"-",E30/C30)</f>
        <v/>
      </c>
    </row>
    <row r="31">
      <c r="A31" s="14" t="inlineStr">
        <is>
          <t>T O L</t>
        </is>
      </c>
      <c r="B31" s="15" t="n">
        <v>145</v>
      </c>
      <c r="C31" s="15" t="n">
        <v>28</v>
      </c>
      <c r="D31" s="15" t="n">
        <v>103</v>
      </c>
      <c r="E31" s="15" t="n">
        <v>27</v>
      </c>
      <c r="F31" s="16">
        <f>IF(B31=0,"-",D31/B31)</f>
        <v/>
      </c>
      <c r="G31" s="16">
        <f>IF(C31=0,"-",E31/C31)</f>
        <v/>
      </c>
    </row>
    <row r="32">
      <c r="A32" s="11" t="inlineStr">
        <is>
          <t>K N C</t>
        </is>
      </c>
      <c r="B32" s="12" t="n">
        <v>140</v>
      </c>
      <c r="C32" s="12" t="n">
        <v>43</v>
      </c>
      <c r="D32" s="12" t="n">
        <v>130</v>
      </c>
      <c r="E32" s="12" t="n">
        <v>42</v>
      </c>
      <c r="F32" s="13">
        <f>IF(B32=0,"-",D32/B32)</f>
        <v/>
      </c>
      <c r="G32" s="13">
        <f>IF(C32=0,"-",E32/C32)</f>
        <v/>
      </c>
    </row>
    <row r="33">
      <c r="A33" s="14" t="inlineStr">
        <is>
          <t>W A T</t>
        </is>
      </c>
      <c r="B33" s="15" t="n">
        <v>119</v>
      </c>
      <c r="C33" s="15" t="n">
        <v>43</v>
      </c>
      <c r="D33" s="15" t="n">
        <v>17</v>
      </c>
      <c r="E33" s="15" t="n">
        <v>5</v>
      </c>
      <c r="F33" s="16">
        <f>IF(B33=0,"-",D33/B33)</f>
        <v/>
      </c>
      <c r="G33" s="16">
        <f>IF(C33=0,"-",E33/C33)</f>
        <v/>
      </c>
    </row>
    <row r="34">
      <c r="A34" s="11" t="inlineStr">
        <is>
          <t>M E N</t>
        </is>
      </c>
      <c r="B34" s="12" t="n">
        <v>114</v>
      </c>
      <c r="C34" s="12" t="n">
        <v>34</v>
      </c>
      <c r="D34" s="12" t="n">
        <v>56</v>
      </c>
      <c r="E34" s="12" t="n">
        <v>20</v>
      </c>
      <c r="F34" s="13">
        <f>IF(B34=0,"-",D34/B34)</f>
        <v/>
      </c>
      <c r="G34" s="13">
        <f>IF(C34=0,"-",E34/C34)</f>
        <v/>
      </c>
    </row>
    <row r="35">
      <c r="A35" s="14" t="inlineStr">
        <is>
          <t>JEW</t>
        </is>
      </c>
      <c r="B35" s="15" t="n">
        <v>102</v>
      </c>
      <c r="C35" s="15" t="n">
        <v>8</v>
      </c>
      <c r="D35" s="15" t="n">
        <v>47</v>
      </c>
      <c r="E35" s="15" t="n">
        <v>4</v>
      </c>
      <c r="F35" s="16">
        <f>IF(B35=0,"-",D35/B35)</f>
        <v/>
      </c>
      <c r="G35" s="16">
        <f>IF(C35=0,"-",E35/C35)</f>
        <v/>
      </c>
    </row>
    <row r="36">
      <c r="A36" s="11" t="inlineStr">
        <is>
          <t>S K S</t>
        </is>
      </c>
      <c r="B36" s="12" t="n">
        <v>93</v>
      </c>
      <c r="C36" s="12" t="n">
        <v>38</v>
      </c>
      <c r="D36" s="12" t="n">
        <v>84</v>
      </c>
      <c r="E36" s="12" t="n">
        <v>33</v>
      </c>
      <c r="F36" s="13">
        <f>IF(B36=0,"-",D36/B36)</f>
        <v/>
      </c>
      <c r="G36" s="13">
        <f>IF(C36=0,"-",E36/C36)</f>
        <v/>
      </c>
    </row>
    <row r="37">
      <c r="A37" s="14" t="inlineStr">
        <is>
          <t>P A C</t>
        </is>
      </c>
      <c r="B37" s="15" t="n">
        <v>81</v>
      </c>
      <c r="C37" s="15" t="n">
        <v>25</v>
      </c>
      <c r="D37" s="15" t="n">
        <v>76</v>
      </c>
      <c r="E37" s="15" t="n">
        <v>22</v>
      </c>
      <c r="F37" s="16">
        <f>IF(B37=0,"-",D37/B37)</f>
        <v/>
      </c>
      <c r="G37" s="16">
        <f>IF(C37=0,"-",E37/C37)</f>
        <v/>
      </c>
    </row>
    <row r="38">
      <c r="A38" s="11" t="inlineStr">
        <is>
          <t>T O V</t>
        </is>
      </c>
      <c r="B38" s="12" t="n">
        <v>75</v>
      </c>
      <c r="C38" s="12" t="n">
        <v>12</v>
      </c>
      <c r="D38" s="12" t="n">
        <v>64</v>
      </c>
      <c r="E38" s="12" t="n">
        <v>11</v>
      </c>
      <c r="F38" s="13">
        <f>IF(B38=0,"-",D38/B38)</f>
        <v/>
      </c>
      <c r="G38" s="13">
        <f>IF(C38=0,"-",E38/C38)</f>
        <v/>
      </c>
    </row>
    <row r="39">
      <c r="A39" s="14" t="inlineStr">
        <is>
          <t>V E S</t>
        </is>
      </c>
      <c r="B39" s="15" t="n">
        <v>62</v>
      </c>
      <c r="C39" s="15" t="n">
        <v>19</v>
      </c>
      <c r="D39" s="15" t="n">
        <v>61</v>
      </c>
      <c r="E39" s="15" t="n">
        <v>18</v>
      </c>
      <c r="F39" s="16">
        <f>IF(B39=0,"-",D39/B39)</f>
        <v/>
      </c>
      <c r="G39" s="16">
        <f>IF(C39=0,"-",E39/C39)</f>
        <v/>
      </c>
    </row>
    <row r="40">
      <c r="A40" s="11" t="inlineStr">
        <is>
          <t>P A P</t>
        </is>
      </c>
      <c r="B40" s="12" t="n">
        <v>57</v>
      </c>
      <c r="C40" s="12" t="n">
        <v>35</v>
      </c>
      <c r="D40" s="12" t="n">
        <v>56</v>
      </c>
      <c r="E40" s="12" t="n">
        <v>35</v>
      </c>
      <c r="F40" s="13">
        <f>IF(B40=0,"-",D40/B40)</f>
        <v/>
      </c>
      <c r="G40" s="13">
        <f>IF(C40=0,"-",E40/C40)</f>
        <v/>
      </c>
    </row>
    <row r="41">
      <c r="A41" s="14" t="inlineStr">
        <is>
          <t>L E G</t>
        </is>
      </c>
      <c r="B41" s="15" t="n">
        <v>52</v>
      </c>
      <c r="C41" s="15" t="n">
        <v>24</v>
      </c>
      <c r="D41" s="15" t="n">
        <v>48</v>
      </c>
      <c r="E41" s="15" t="n">
        <v>21</v>
      </c>
      <c r="F41" s="16">
        <f>IF(B41=0,"-",D41/B41)</f>
        <v/>
      </c>
      <c r="G41" s="16">
        <f>IF(C41=0,"-",E41/C41)</f>
        <v/>
      </c>
    </row>
    <row r="42">
      <c r="A42" s="11" t="inlineStr">
        <is>
          <t>P R M</t>
        </is>
      </c>
      <c r="B42" s="12" t="n">
        <v>51</v>
      </c>
      <c r="C42" s="12" t="n">
        <v>24</v>
      </c>
      <c r="D42" s="12" t="n">
        <v>0</v>
      </c>
      <c r="E42" s="12" t="n">
        <v>0</v>
      </c>
      <c r="F42" s="13">
        <f>IF(B42=0,"-",D42/B42)</f>
        <v/>
      </c>
      <c r="G42" s="13">
        <f>IF(C42=0,"-",E42/C42)</f>
        <v/>
      </c>
    </row>
    <row r="43">
      <c r="A43" s="14" t="inlineStr">
        <is>
          <t>J E A</t>
        </is>
      </c>
      <c r="B43" s="15" t="n">
        <v>49</v>
      </c>
      <c r="C43" s="15" t="n">
        <v>25</v>
      </c>
      <c r="D43" s="15" t="n">
        <v>37</v>
      </c>
      <c r="E43" s="15" t="n">
        <v>19</v>
      </c>
      <c r="F43" s="16">
        <f>IF(B43=0,"-",D43/B43)</f>
        <v/>
      </c>
      <c r="G43" s="16">
        <f>IF(C43=0,"-",E43/C43)</f>
        <v/>
      </c>
    </row>
    <row r="44">
      <c r="A44" s="11" t="inlineStr">
        <is>
          <t>F O D</t>
        </is>
      </c>
      <c r="B44" s="12" t="n">
        <v>46</v>
      </c>
      <c r="C44" s="12" t="n">
        <v>27</v>
      </c>
      <c r="D44" s="12" t="n">
        <v>3</v>
      </c>
      <c r="E44" s="12" t="n">
        <v>2</v>
      </c>
      <c r="F44" s="13">
        <f>IF(B44=0,"-",D44/B44)</f>
        <v/>
      </c>
      <c r="G44" s="13">
        <f>IF(C44=0,"-",E44/C44)</f>
        <v/>
      </c>
    </row>
    <row r="45">
      <c r="A45" s="14" t="inlineStr">
        <is>
          <t>P E T</t>
        </is>
      </c>
      <c r="B45" s="15" t="n">
        <v>43</v>
      </c>
      <c r="C45" s="15" t="n">
        <v>16</v>
      </c>
      <c r="D45" s="15" t="n">
        <v>7</v>
      </c>
      <c r="E45" s="15" t="n">
        <v>7</v>
      </c>
      <c r="F45" s="16">
        <f>IF(B45=0,"-",D45/B45)</f>
        <v/>
      </c>
      <c r="G45" s="16">
        <f>IF(C45=0,"-",E45/C45)</f>
        <v/>
      </c>
    </row>
    <row r="46">
      <c r="A46" s="11" t="inlineStr">
        <is>
          <t>S O S</t>
        </is>
      </c>
      <c r="B46" s="12" t="n">
        <v>42</v>
      </c>
      <c r="C46" s="12" t="n">
        <v>12</v>
      </c>
      <c r="D46" s="12" t="n">
        <v>42</v>
      </c>
      <c r="E46" s="12" t="n">
        <v>12</v>
      </c>
      <c r="F46" s="13">
        <f>IF(B46=0,"-",D46/B46)</f>
        <v/>
      </c>
      <c r="G46" s="13">
        <f>IF(C46=0,"-",E46/C46)</f>
        <v/>
      </c>
    </row>
    <row r="47">
      <c r="A47" s="14" t="inlineStr">
        <is>
          <t>S H M</t>
        </is>
      </c>
      <c r="B47" s="15" t="n">
        <v>42</v>
      </c>
      <c r="C47" s="15" t="n">
        <v>11</v>
      </c>
      <c r="D47" s="15" t="n">
        <v>39</v>
      </c>
      <c r="E47" s="15" t="n">
        <v>10</v>
      </c>
      <c r="F47" s="16">
        <f>IF(B47=0,"-",D47/B47)</f>
        <v/>
      </c>
      <c r="G47" s="16">
        <f>IF(C47=0,"-",E47/C47)</f>
        <v/>
      </c>
    </row>
    <row r="48">
      <c r="A48" s="11" t="inlineStr">
        <is>
          <t>A C B</t>
        </is>
      </c>
      <c r="B48" s="12" t="n">
        <v>41</v>
      </c>
      <c r="C48" s="12" t="n">
        <v>20</v>
      </c>
      <c r="D48" s="12" t="n">
        <v>20</v>
      </c>
      <c r="E48" s="12" t="n">
        <v>8</v>
      </c>
      <c r="F48" s="13">
        <f>IF(B48=0,"-",D48/B48)</f>
        <v/>
      </c>
      <c r="G48" s="13">
        <f>IF(C48=0,"-",E48/C48)</f>
        <v/>
      </c>
    </row>
    <row r="49">
      <c r="A49" s="14" t="inlineStr">
        <is>
          <t>J U M</t>
        </is>
      </c>
      <c r="B49" s="15" t="n">
        <v>39</v>
      </c>
      <c r="C49" s="15" t="n">
        <v>10</v>
      </c>
      <c r="D49" s="15" t="n">
        <v>35</v>
      </c>
      <c r="E49" s="15" t="n">
        <v>10</v>
      </c>
      <c r="F49" s="16">
        <f>IF(B49=0,"-",D49/B49)</f>
        <v/>
      </c>
      <c r="G49" s="16">
        <f>IF(C49=0,"-",E49/C49)</f>
        <v/>
      </c>
    </row>
    <row r="50">
      <c r="A50" s="11" t="inlineStr">
        <is>
          <t>A C P</t>
        </is>
      </c>
      <c r="B50" s="12" t="n">
        <v>32</v>
      </c>
      <c r="C50" s="12" t="n">
        <v>2</v>
      </c>
      <c r="D50" s="12" t="n">
        <v>19</v>
      </c>
      <c r="E50" s="12" t="n">
        <v>2</v>
      </c>
      <c r="F50" s="13">
        <f>IF(B50=0,"-",D50/B50)</f>
        <v/>
      </c>
      <c r="G50" s="13">
        <f>IF(C50=0,"-",E50/C50)</f>
        <v/>
      </c>
    </row>
    <row r="51">
      <c r="A51" s="14" t="inlineStr">
        <is>
          <t>S O W</t>
        </is>
      </c>
      <c r="B51" s="15" t="n">
        <v>28</v>
      </c>
      <c r="C51" s="15" t="n">
        <v>9</v>
      </c>
      <c r="D51" s="15" t="n">
        <v>28</v>
      </c>
      <c r="E51" s="15" t="n">
        <v>9</v>
      </c>
      <c r="F51" s="16">
        <f>IF(B51=0,"-",D51/B51)</f>
        <v/>
      </c>
      <c r="G51" s="16">
        <f>IF(C51=0,"-",E51/C51)</f>
        <v/>
      </c>
    </row>
    <row r="52">
      <c r="A52" s="11" t="inlineStr">
        <is>
          <t>K N T</t>
        </is>
      </c>
      <c r="B52" s="12" t="n">
        <v>28</v>
      </c>
      <c r="C52" s="12" t="n">
        <v>6</v>
      </c>
      <c r="D52" s="12" t="n">
        <v>23</v>
      </c>
      <c r="E52" s="12" t="n">
        <v>6</v>
      </c>
      <c r="F52" s="13">
        <f>IF(B52=0,"-",D52/B52)</f>
        <v/>
      </c>
      <c r="G52" s="13">
        <f>IF(C52=0,"-",E52/C52)</f>
        <v/>
      </c>
    </row>
    <row r="53">
      <c r="A53" s="14" t="inlineStr">
        <is>
          <t>P O N</t>
        </is>
      </c>
      <c r="B53" s="15" t="n">
        <v>27</v>
      </c>
      <c r="C53" s="15" t="n">
        <v>3</v>
      </c>
      <c r="D53" s="15" t="n">
        <v>25</v>
      </c>
      <c r="E53" s="15" t="n">
        <v>3</v>
      </c>
      <c r="F53" s="16">
        <f>IF(B53=0,"-",D53/B53)</f>
        <v/>
      </c>
      <c r="G53" s="16">
        <f>IF(C53=0,"-",E53/C53)</f>
        <v/>
      </c>
    </row>
    <row r="54">
      <c r="A54" s="11" t="inlineStr">
        <is>
          <t>T H T</t>
        </is>
      </c>
      <c r="B54" s="12" t="n">
        <v>27</v>
      </c>
      <c r="C54" s="12" t="n">
        <v>14</v>
      </c>
      <c r="D54" s="12" t="n">
        <v>27</v>
      </c>
      <c r="E54" s="12" t="n">
        <v>14</v>
      </c>
      <c r="F54" s="13">
        <f>IF(B54=0,"-",D54/B54)</f>
        <v/>
      </c>
      <c r="G54" s="13">
        <f>IF(C54=0,"-",E54/C54)</f>
        <v/>
      </c>
    </row>
    <row r="55">
      <c r="A55" s="14" t="inlineStr">
        <is>
          <t>S O P</t>
        </is>
      </c>
      <c r="B55" s="15" t="n">
        <v>26</v>
      </c>
      <c r="C55" s="15" t="n">
        <v>10</v>
      </c>
      <c r="D55" s="15" t="n">
        <v>25</v>
      </c>
      <c r="E55" s="15" t="n">
        <v>10</v>
      </c>
      <c r="F55" s="16">
        <f>IF(B55=0,"-",D55/B55)</f>
        <v/>
      </c>
      <c r="G55" s="16">
        <f>IF(C55=0,"-",E55/C55)</f>
        <v/>
      </c>
    </row>
    <row r="56">
      <c r="A56" s="11" t="inlineStr">
        <is>
          <t>B R A</t>
        </is>
      </c>
      <c r="B56" s="12" t="n">
        <v>23</v>
      </c>
      <c r="C56" s="12" t="n">
        <v>16</v>
      </c>
      <c r="D56" s="12" t="n">
        <v>23</v>
      </c>
      <c r="E56" s="12" t="n">
        <v>16</v>
      </c>
      <c r="F56" s="13">
        <f>IF(B56=0,"-",D56/B56)</f>
        <v/>
      </c>
      <c r="G56" s="13">
        <f>IF(C56=0,"-",E56/C56)</f>
        <v/>
      </c>
    </row>
    <row r="57">
      <c r="A57" s="14" t="inlineStr">
        <is>
          <t>C H C</t>
        </is>
      </c>
      <c r="B57" s="15" t="n">
        <v>23</v>
      </c>
      <c r="C57" s="15" t="n">
        <v>4</v>
      </c>
      <c r="D57" s="15" t="n">
        <v>7</v>
      </c>
      <c r="E57" s="15" t="n">
        <v>2</v>
      </c>
      <c r="F57" s="16">
        <f>IF(B57=0,"-",D57/B57)</f>
        <v/>
      </c>
      <c r="G57" s="16">
        <f>IF(C57=0,"-",E57/C57)</f>
        <v/>
      </c>
    </row>
    <row r="58">
      <c r="A58" s="11" t="inlineStr">
        <is>
          <t>T H K</t>
        </is>
      </c>
      <c r="B58" s="12" t="n">
        <v>21</v>
      </c>
      <c r="C58" s="12" t="n">
        <v>2</v>
      </c>
      <c r="D58" s="12" t="n">
        <v>20</v>
      </c>
      <c r="E58" s="12" t="n">
        <v>2</v>
      </c>
      <c r="F58" s="13">
        <f>IF(B58=0,"-",D58/B58)</f>
        <v/>
      </c>
      <c r="G58" s="13">
        <f>IF(C58=0,"-",E58/C58)</f>
        <v/>
      </c>
    </row>
    <row r="59">
      <c r="A59" s="14" t="inlineStr">
        <is>
          <t>L U G</t>
        </is>
      </c>
      <c r="B59" s="15" t="n">
        <v>16</v>
      </c>
      <c r="C59" s="15" t="n">
        <v>1</v>
      </c>
      <c r="D59" s="15" t="n">
        <v>1</v>
      </c>
      <c r="E59" s="15" t="n">
        <v>1</v>
      </c>
      <c r="F59" s="16">
        <f>IF(B59=0,"-",D59/B59)</f>
        <v/>
      </c>
      <c r="G59" s="16">
        <f>IF(C59=0,"-",E59/C59)</f>
        <v/>
      </c>
    </row>
    <row r="60">
      <c r="A60" s="11" t="inlineStr">
        <is>
          <t>T H J</t>
        </is>
      </c>
      <c r="B60" s="12" t="n">
        <v>16</v>
      </c>
      <c r="C60" s="12" t="n">
        <v>4</v>
      </c>
      <c r="D60" s="12" t="n">
        <v>13</v>
      </c>
      <c r="E60" s="12" t="n">
        <v>3</v>
      </c>
      <c r="F60" s="13">
        <f>IF(B60=0,"-",D60/B60)</f>
        <v/>
      </c>
      <c r="G60" s="13">
        <f>IF(C60=0,"-",E60/C60)</f>
        <v/>
      </c>
    </row>
    <row r="61">
      <c r="A61" s="14" t="inlineStr">
        <is>
          <t>H O S</t>
        </is>
      </c>
      <c r="B61" s="15" t="n">
        <v>13</v>
      </c>
      <c r="C61" s="15" t="n">
        <v>8</v>
      </c>
      <c r="D61" s="15" t="n">
        <v>13</v>
      </c>
      <c r="E61" s="15" t="n">
        <v>8</v>
      </c>
      <c r="F61" s="16">
        <f>IF(B61=0,"-",D61/B61)</f>
        <v/>
      </c>
      <c r="G61" s="16">
        <f>IF(C61=0,"-",E61/C61)</f>
        <v/>
      </c>
    </row>
    <row r="62">
      <c r="A62" s="11" t="inlineStr">
        <is>
          <t>T H A</t>
        </is>
      </c>
      <c r="B62" s="12" t="n">
        <v>13</v>
      </c>
      <c r="C62" s="12" t="n">
        <v>4</v>
      </c>
      <c r="D62" s="12" t="n">
        <v>12</v>
      </c>
      <c r="E62" s="12" t="n">
        <v>4</v>
      </c>
      <c r="F62" s="13">
        <f>IF(B62=0,"-",D62/B62)</f>
        <v/>
      </c>
      <c r="G62" s="13">
        <f>IF(C62=0,"-",E62/C62)</f>
        <v/>
      </c>
    </row>
    <row r="63">
      <c r="A63" s="14" t="inlineStr">
        <is>
          <t>O U J</t>
        </is>
      </c>
      <c r="B63" s="15" t="n">
        <v>12</v>
      </c>
      <c r="C63" s="15" t="n">
        <v>0</v>
      </c>
      <c r="D63" s="15" t="n">
        <v>9</v>
      </c>
      <c r="E63" s="15" t="n">
        <v>0</v>
      </c>
      <c r="F63" s="16">
        <f>IF(B63=0,"-",D63/B63)</f>
        <v/>
      </c>
      <c r="G63" s="16">
        <f>IF(C63=0,"-",E63/C63)</f>
        <v/>
      </c>
    </row>
    <row r="64">
      <c r="A64" s="11" t="inlineStr">
        <is>
          <t>S O J</t>
        </is>
      </c>
      <c r="B64" s="12" t="n">
        <v>11</v>
      </c>
      <c r="C64" s="12" t="n">
        <v>4</v>
      </c>
      <c r="D64" s="12" t="n">
        <v>10</v>
      </c>
      <c r="E64" s="12" t="n">
        <v>4</v>
      </c>
      <c r="F64" s="13">
        <f>IF(B64=0,"-",D64/B64)</f>
        <v/>
      </c>
      <c r="G64" s="13">
        <f>IF(C64=0,"-",E64/C64)</f>
        <v/>
      </c>
    </row>
    <row r="65">
      <c r="A65" s="14" t="inlineStr">
        <is>
          <t>L I P</t>
        </is>
      </c>
      <c r="B65" s="15" t="n">
        <v>10</v>
      </c>
      <c r="C65" s="15" t="n">
        <v>2</v>
      </c>
      <c r="D65" s="15" t="n">
        <v>9</v>
      </c>
      <c r="E65" s="15" t="n">
        <v>2</v>
      </c>
      <c r="F65" s="16">
        <f>IF(B65=0,"-",D65/B65)</f>
        <v/>
      </c>
      <c r="G65" s="16">
        <f>IF(C65=0,"-",E65/C65)</f>
        <v/>
      </c>
    </row>
    <row r="66">
      <c r="A66" s="11" t="inlineStr">
        <is>
          <t>S O B</t>
        </is>
      </c>
      <c r="B66" s="12" t="n">
        <v>9</v>
      </c>
      <c r="C66" s="12" t="n">
        <v>3</v>
      </c>
      <c r="D66" s="12" t="n">
        <v>9</v>
      </c>
      <c r="E66" s="12" t="n">
        <v>3</v>
      </c>
      <c r="F66" s="13">
        <f>IF(B66=0,"-",D66/B66)</f>
        <v/>
      </c>
      <c r="G66" s="13">
        <f>IF(C66=0,"-",E66/C66)</f>
        <v/>
      </c>
    </row>
    <row r="67">
      <c r="A67" s="14" t="inlineStr">
        <is>
          <t>S P C</t>
        </is>
      </c>
      <c r="B67" s="15" t="n">
        <v>9</v>
      </c>
      <c r="C67" s="15" t="n">
        <v>1</v>
      </c>
      <c r="D67" s="15" t="n">
        <v>6</v>
      </c>
      <c r="E67" s="15" t="n">
        <v>1</v>
      </c>
      <c r="F67" s="16">
        <f>IF(B67=0,"-",D67/B67)</f>
        <v/>
      </c>
      <c r="G67" s="16">
        <f>IF(C67=0,"-",E67/C67)</f>
        <v/>
      </c>
    </row>
    <row r="68">
      <c r="A68" s="11" t="inlineStr">
        <is>
          <t>F R G</t>
        </is>
      </c>
      <c r="B68" s="12" t="n">
        <v>8</v>
      </c>
      <c r="C68" s="12" t="n">
        <v>3</v>
      </c>
      <c r="D68" s="12" t="n">
        <v>4</v>
      </c>
      <c r="E68" s="12" t="n">
        <v>3</v>
      </c>
      <c r="F68" s="13">
        <f>IF(B68=0,"-",D68/B68)</f>
        <v/>
      </c>
      <c r="G68" s="13">
        <f>IF(C68=0,"-",E68/C68)</f>
        <v/>
      </c>
    </row>
    <row r="69">
      <c r="A69" s="14" t="inlineStr">
        <is>
          <t>Y O S</t>
        </is>
      </c>
      <c r="B69" s="15" t="n">
        <v>8</v>
      </c>
      <c r="C69" s="15" t="n">
        <v>4</v>
      </c>
      <c r="D69" s="15" t="n">
        <v>8</v>
      </c>
      <c r="E69" s="15" t="n">
        <v>4</v>
      </c>
      <c r="F69" s="16">
        <f>IF(B69=0,"-",D69/B69)</f>
        <v/>
      </c>
      <c r="G69" s="16">
        <f>IF(C69=0,"-",E69/C69)</f>
        <v/>
      </c>
    </row>
    <row r="70">
      <c r="A70" s="11" t="inlineStr">
        <is>
          <t>P A W</t>
        </is>
      </c>
      <c r="B70" s="12" t="n">
        <v>8</v>
      </c>
      <c r="C70" s="12" t="n">
        <v>3</v>
      </c>
      <c r="D70" s="12" t="n">
        <v>8</v>
      </c>
      <c r="E70" s="12" t="n">
        <v>3</v>
      </c>
      <c r="F70" s="13">
        <f>IF(B70=0,"-",D70/B70)</f>
        <v/>
      </c>
      <c r="G70" s="13">
        <f>IF(C70=0,"-",E70/C70)</f>
        <v/>
      </c>
    </row>
    <row r="71">
      <c r="A71" s="14" t="inlineStr">
        <is>
          <t>T H D</t>
        </is>
      </c>
      <c r="B71" s="15" t="n">
        <v>8</v>
      </c>
      <c r="C71" s="15" t="n">
        <v>0</v>
      </c>
      <c r="D71" s="15" t="n">
        <v>0</v>
      </c>
      <c r="E71" s="15" t="n">
        <v>0</v>
      </c>
      <c r="F71" s="16">
        <f>IF(B71=0,"-",D71/B71)</f>
        <v/>
      </c>
      <c r="G71" s="16">
        <f>IF(C71=0,"-",E71/C71)</f>
        <v/>
      </c>
    </row>
    <row r="72">
      <c r="A72" s="11" t="inlineStr">
        <is>
          <t>O U C</t>
        </is>
      </c>
      <c r="B72" s="12" t="n">
        <v>7</v>
      </c>
      <c r="C72" s="12" t="n">
        <v>1</v>
      </c>
      <c r="D72" s="12" t="n">
        <v>6</v>
      </c>
      <c r="E72" s="12" t="n">
        <v>1</v>
      </c>
      <c r="F72" s="13">
        <f>IF(B72=0,"-",D72/B72)</f>
        <v/>
      </c>
      <c r="G72" s="13">
        <f>IF(C72=0,"-",E72/C72)</f>
        <v/>
      </c>
    </row>
    <row r="73">
      <c r="A73" s="14" t="inlineStr">
        <is>
          <t>T H B</t>
        </is>
      </c>
      <c r="B73" s="15" t="n">
        <v>5</v>
      </c>
      <c r="C73" s="15" t="n">
        <v>3</v>
      </c>
      <c r="D73" s="15" t="n">
        <v>4</v>
      </c>
      <c r="E73" s="15" t="n">
        <v>2</v>
      </c>
      <c r="F73" s="16">
        <f>IF(B73=0,"-",D73/B73)</f>
        <v/>
      </c>
      <c r="G73" s="16">
        <f>IF(C73=0,"-",E73/C73)</f>
        <v/>
      </c>
    </row>
    <row r="74">
      <c r="A74" s="11" t="inlineStr">
        <is>
          <t>L I S</t>
        </is>
      </c>
      <c r="B74" s="12" t="n">
        <v>4</v>
      </c>
      <c r="C74" s="12" t="n">
        <v>1</v>
      </c>
      <c r="D74" s="12" t="n">
        <v>4</v>
      </c>
      <c r="E74" s="12" t="n">
        <v>1</v>
      </c>
      <c r="F74" s="13">
        <f>IF(B74=0,"-",D74/B74)</f>
        <v/>
      </c>
      <c r="G74" s="13">
        <f>IF(C74=0,"-",E74/C74)</f>
        <v/>
      </c>
    </row>
    <row r="75">
      <c r="A75" s="14" t="inlineStr">
        <is>
          <t>P A S</t>
        </is>
      </c>
      <c r="B75" s="15" t="n">
        <v>3</v>
      </c>
      <c r="C75" s="15" t="n">
        <v>2</v>
      </c>
      <c r="D75" s="15" t="n">
        <v>3</v>
      </c>
      <c r="E75" s="15" t="n">
        <v>2</v>
      </c>
      <c r="F75" s="16">
        <f>IF(B75=0,"-",D75/B75)</f>
        <v/>
      </c>
      <c r="G75" s="16">
        <f>IF(C75=0,"-",E75/C75)</f>
        <v/>
      </c>
    </row>
    <row r="76">
      <c r="A76" s="11" t="inlineStr">
        <is>
          <t>T H V</t>
        </is>
      </c>
      <c r="B76" s="12" t="n">
        <v>3</v>
      </c>
      <c r="C76" s="12" t="n">
        <v>0</v>
      </c>
      <c r="D76" s="12" t="n">
        <v>2</v>
      </c>
      <c r="E76" s="12" t="n">
        <v>0</v>
      </c>
      <c r="F76" s="13">
        <f>IF(B76=0,"-",D76/B76)</f>
        <v/>
      </c>
      <c r="G76" s="13">
        <f>IF(C76=0,"-",E76/C76)</f>
        <v/>
      </c>
    </row>
    <row r="77">
      <c r="A77" s="14" t="inlineStr">
        <is>
          <t>T H C</t>
        </is>
      </c>
      <c r="B77" s="15" t="n">
        <v>3</v>
      </c>
      <c r="C77" s="15" t="n">
        <v>0</v>
      </c>
      <c r="D77" s="15" t="n">
        <v>0</v>
      </c>
      <c r="E77" s="15" t="n">
        <v>0</v>
      </c>
      <c r="F77" s="16">
        <f>IF(B77=0,"-",D77/B77)</f>
        <v/>
      </c>
      <c r="G77" s="16">
        <f>IF(C77=0,"-",E77/C77)</f>
        <v/>
      </c>
    </row>
    <row r="78">
      <c r="A78" s="11" t="inlineStr">
        <is>
          <t>P S T</t>
        </is>
      </c>
      <c r="B78" s="12" t="n">
        <v>3</v>
      </c>
      <c r="C78" s="12" t="n">
        <v>0</v>
      </c>
      <c r="D78" s="12" t="n">
        <v>3</v>
      </c>
      <c r="E78" s="12" t="n">
        <v>0</v>
      </c>
      <c r="F78" s="13">
        <f>IF(B78=0,"-",D78/B78)</f>
        <v/>
      </c>
      <c r="G78" s="13">
        <f>IF(C78=0,"-",E78/C78)</f>
        <v/>
      </c>
    </row>
    <row r="79">
      <c r="A79" s="14" t="inlineStr">
        <is>
          <t>J EW</t>
        </is>
      </c>
      <c r="B79" s="15" t="n">
        <v>3</v>
      </c>
      <c r="C79" s="15" t="n">
        <v>0</v>
      </c>
      <c r="D79" s="15" t="n">
        <v>3</v>
      </c>
      <c r="E79" s="15" t="n">
        <v>0</v>
      </c>
      <c r="F79" s="16">
        <f>IF(B79=0,"-",D79/B79)</f>
        <v/>
      </c>
      <c r="G79" s="16">
        <f>IF(C79=0,"-",E79/C79)</f>
        <v/>
      </c>
    </row>
    <row r="80">
      <c r="A80" s="11" t="inlineStr">
        <is>
          <t>A T V</t>
        </is>
      </c>
      <c r="B80" s="12" t="n">
        <v>2</v>
      </c>
      <c r="C80" s="12" t="n">
        <v>0</v>
      </c>
      <c r="D80" s="12" t="n">
        <v>2</v>
      </c>
      <c r="E80" s="12" t="n">
        <v>0</v>
      </c>
      <c r="F80" s="13">
        <f>IF(B80=0,"-",D80/B80)</f>
        <v/>
      </c>
      <c r="G80" s="13">
        <f>IF(C80=0,"-",E80/C80)</f>
        <v/>
      </c>
    </row>
    <row r="81">
      <c r="A81" s="14" t="inlineStr">
        <is>
          <t>K N V</t>
        </is>
      </c>
      <c r="B81" s="15" t="n">
        <v>2</v>
      </c>
      <c r="C81" s="15" t="n">
        <v>1</v>
      </c>
      <c r="D81" s="15" t="n">
        <v>2</v>
      </c>
      <c r="E81" s="15" t="n">
        <v>1</v>
      </c>
      <c r="F81" s="16">
        <f>IF(B81=0,"-",D81/B81)</f>
        <v/>
      </c>
      <c r="G81" s="16">
        <f>IF(C81=0,"-",E81/C81)</f>
        <v/>
      </c>
    </row>
    <row r="82">
      <c r="A82" s="11" t="inlineStr">
        <is>
          <t>Gift Card</t>
        </is>
      </c>
      <c r="B82" s="12" t="n">
        <v>1</v>
      </c>
      <c r="C82" s="12" t="n">
        <v>1</v>
      </c>
      <c r="D82" s="12" t="n">
        <v>0</v>
      </c>
      <c r="E82" s="12" t="n">
        <v>0</v>
      </c>
      <c r="F82" s="13">
        <f>IF(B82=0,"-",D82/B82)</f>
        <v/>
      </c>
      <c r="G82" s="13">
        <f>IF(C82=0,"-",E82/C82)</f>
        <v/>
      </c>
    </row>
    <row r="83">
      <c r="A83" s="14" t="inlineStr">
        <is>
          <t>S H W</t>
        </is>
      </c>
      <c r="B83" s="15" t="n">
        <v>1</v>
      </c>
      <c r="C83" s="15" t="n">
        <v>0</v>
      </c>
      <c r="D83" s="15" t="n">
        <v>1</v>
      </c>
      <c r="E83" s="15" t="n">
        <v>0</v>
      </c>
      <c r="F83" s="16">
        <f>IF(B83=0,"-",D83/B83)</f>
        <v/>
      </c>
      <c r="G83" s="16">
        <f>IF(C83=0,"-",E83/C83)</f>
        <v/>
      </c>
    </row>
    <row r="84">
      <c r="A84" s="11" t="inlineStr">
        <is>
          <t>WAT</t>
        </is>
      </c>
      <c r="B84" s="12" t="n">
        <v>1</v>
      </c>
      <c r="C84" s="12" t="n">
        <v>1</v>
      </c>
      <c r="D84" s="12" t="n">
        <v>0</v>
      </c>
      <c r="E84" s="12" t="n">
        <v>0</v>
      </c>
      <c r="F84" s="13">
        <f>IF(B84=0,"-",D84/B84)</f>
        <v/>
      </c>
      <c r="G84" s="13">
        <f>IF(C84=0,"-",E84/C84)</f>
        <v/>
      </c>
    </row>
    <row r="85">
      <c r="A85" s="14" t="inlineStr">
        <is>
          <t>THK</t>
        </is>
      </c>
      <c r="B85" s="15" t="n">
        <v>1</v>
      </c>
      <c r="C85" s="15" t="n">
        <v>1</v>
      </c>
      <c r="D85" s="15" t="n">
        <v>1</v>
      </c>
      <c r="E85" s="15" t="n">
        <v>1</v>
      </c>
      <c r="F85" s="16">
        <f>IF(B85=0,"-",D85/B85)</f>
        <v/>
      </c>
      <c r="G85" s="16">
        <f>IF(C85=0,"-",E85/C85)</f>
        <v/>
      </c>
    </row>
    <row r="86">
      <c r="A86" s="11" t="inlineStr">
        <is>
          <t>J E W\</t>
        </is>
      </c>
      <c r="B86" s="12" t="n">
        <v>1</v>
      </c>
      <c r="C86" s="12" t="n">
        <v>0</v>
      </c>
      <c r="D86" s="12" t="n">
        <v>0</v>
      </c>
      <c r="E86" s="12" t="n">
        <v>0</v>
      </c>
      <c r="F86" s="13">
        <f>IF(B86=0,"-",D86/B86)</f>
        <v/>
      </c>
      <c r="G86" s="13">
        <f>IF(C86=0,"-",E86/C86)</f>
        <v/>
      </c>
    </row>
  </sheetData>
  <autoFilter ref="A1:G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20" customWidth="1" min="4" max="4"/>
  </cols>
  <sheetData>
    <row r="1">
      <c r="A1" s="10" t="inlineStr">
        <is>
          <t>Rank</t>
        </is>
      </c>
      <c r="B1" s="10" t="inlineStr">
        <is>
          <t>Color Value</t>
        </is>
      </c>
      <c r="C1" s="10" t="inlineStr">
        <is>
          <t>Product Count</t>
        </is>
      </c>
      <c r="D1" s="10" t="inlineStr">
        <is>
          <t>% of Color Products</t>
        </is>
      </c>
    </row>
    <row r="2">
      <c r="A2" s="17" t="n">
        <v>1</v>
      </c>
      <c r="B2" s="11" t="inlineStr">
        <is>
          <t>BLACK</t>
        </is>
      </c>
      <c r="C2" s="12" t="n">
        <v>3289</v>
      </c>
      <c r="D2" s="13">
        <f>C2/16783</f>
        <v/>
      </c>
    </row>
    <row r="3">
      <c r="A3" s="18" t="n">
        <v>2</v>
      </c>
      <c r="B3" s="14" t="inlineStr">
        <is>
          <t>SILVER</t>
        </is>
      </c>
      <c r="C3" s="15" t="n">
        <v>1112</v>
      </c>
      <c r="D3" s="16">
        <f>C3/16783</f>
        <v/>
      </c>
    </row>
    <row r="4">
      <c r="A4" s="17" t="n">
        <v>3</v>
      </c>
      <c r="B4" s="11" t="inlineStr">
        <is>
          <t>WHITE</t>
        </is>
      </c>
      <c r="C4" s="12" t="n">
        <v>1107</v>
      </c>
      <c r="D4" s="13">
        <f>C4/16783</f>
        <v/>
      </c>
    </row>
    <row r="5">
      <c r="A5" s="18" t="n">
        <v>4</v>
      </c>
      <c r="B5" s="14" t="inlineStr">
        <is>
          <t>NAVY</t>
        </is>
      </c>
      <c r="C5" s="15" t="n">
        <v>1067</v>
      </c>
      <c r="D5" s="16">
        <f>C5/16783</f>
        <v/>
      </c>
    </row>
    <row r="6">
      <c r="A6" s="17" t="n">
        <v>5</v>
      </c>
      <c r="B6" s="11" t="inlineStr">
        <is>
          <t>BLUE</t>
        </is>
      </c>
      <c r="C6" s="12" t="n">
        <v>810</v>
      </c>
      <c r="D6" s="13">
        <f>C6/16783</f>
        <v/>
      </c>
    </row>
    <row r="7">
      <c r="A7" s="18" t="n">
        <v>6</v>
      </c>
      <c r="B7" s="14" t="inlineStr">
        <is>
          <t>PINK</t>
        </is>
      </c>
      <c r="C7" s="15" t="n">
        <v>782</v>
      </c>
      <c r="D7" s="16">
        <f>C7/16783</f>
        <v/>
      </c>
    </row>
    <row r="8">
      <c r="A8" s="17" t="n">
        <v>7</v>
      </c>
      <c r="B8" s="11" t="inlineStr">
        <is>
          <t>GREY</t>
        </is>
      </c>
      <c r="C8" s="12" t="n">
        <v>768</v>
      </c>
      <c r="D8" s="13">
        <f>C8/16783</f>
        <v/>
      </c>
    </row>
    <row r="9">
      <c r="A9" s="18" t="n">
        <v>8</v>
      </c>
      <c r="B9" s="14" t="inlineStr">
        <is>
          <t>GOLD</t>
        </is>
      </c>
      <c r="C9" s="15" t="n">
        <v>767</v>
      </c>
      <c r="D9" s="16">
        <f>C9/16783</f>
        <v/>
      </c>
    </row>
    <row r="10">
      <c r="A10" s="17" t="n">
        <v>9</v>
      </c>
      <c r="B10" s="11" t="inlineStr">
        <is>
          <t>RED</t>
        </is>
      </c>
      <c r="C10" s="12" t="n">
        <v>704</v>
      </c>
      <c r="D10" s="13">
        <f>C10/16783</f>
        <v/>
      </c>
    </row>
    <row r="11">
      <c r="A11" s="18" t="n">
        <v>10</v>
      </c>
      <c r="B11" s="14" t="inlineStr">
        <is>
          <t>CLEAR</t>
        </is>
      </c>
      <c r="C11" s="15" t="n">
        <v>629</v>
      </c>
      <c r="D11" s="16">
        <f>C11/16783</f>
        <v/>
      </c>
    </row>
    <row r="12">
      <c r="A12" s="17" t="n">
        <v>11</v>
      </c>
      <c r="B12" s="11" t="inlineStr">
        <is>
          <t>BEIGE</t>
        </is>
      </c>
      <c r="C12" s="12" t="n">
        <v>427</v>
      </c>
      <c r="D12" s="13">
        <f>C12/16783</f>
        <v/>
      </c>
    </row>
    <row r="13">
      <c r="A13" s="18" t="n">
        <v>12</v>
      </c>
      <c r="B13" s="14" t="inlineStr">
        <is>
          <t>GREEN</t>
        </is>
      </c>
      <c r="C13" s="15" t="n">
        <v>389</v>
      </c>
      <c r="D13" s="16">
        <f>C13/16783</f>
        <v/>
      </c>
    </row>
    <row r="14">
      <c r="A14" s="17" t="n">
        <v>13</v>
      </c>
      <c r="B14" s="11" t="inlineStr">
        <is>
          <t>BROWN</t>
        </is>
      </c>
      <c r="C14" s="12" t="n">
        <v>382</v>
      </c>
      <c r="D14" s="13">
        <f>C14/16783</f>
        <v/>
      </c>
    </row>
    <row r="15">
      <c r="A15" s="18" t="n">
        <v>14</v>
      </c>
      <c r="B15" s="14" t="inlineStr">
        <is>
          <t>IVORY</t>
        </is>
      </c>
      <c r="C15" s="15" t="n">
        <v>340</v>
      </c>
      <c r="D15" s="16">
        <f>C15/16783</f>
        <v/>
      </c>
    </row>
    <row r="16">
      <c r="A16" s="17" t="n">
        <v>15</v>
      </c>
      <c r="B16" s="11" t="inlineStr">
        <is>
          <t>PURPLE</t>
        </is>
      </c>
      <c r="C16" s="12" t="n">
        <v>313</v>
      </c>
      <c r="D16" s="13">
        <f>C16/16783</f>
        <v/>
      </c>
    </row>
    <row r="17">
      <c r="A17" s="18" t="n">
        <v>16</v>
      </c>
      <c r="B17" s="14" t="inlineStr">
        <is>
          <t>MULTI</t>
        </is>
      </c>
      <c r="C17" s="15" t="n">
        <v>296</v>
      </c>
      <c r="D17" s="16">
        <f>C17/16783</f>
        <v/>
      </c>
    </row>
    <row r="18">
      <c r="A18" s="17" t="n">
        <v>17</v>
      </c>
      <c r="B18" s="11" t="inlineStr">
        <is>
          <t>DENIM</t>
        </is>
      </c>
      <c r="C18" s="12" t="n">
        <v>232</v>
      </c>
      <c r="D18" s="13">
        <f>C18/16783</f>
        <v/>
      </c>
    </row>
    <row r="19">
      <c r="A19" s="18" t="n">
        <v>18</v>
      </c>
      <c r="B19" s="14" t="inlineStr">
        <is>
          <t>TEAL</t>
        </is>
      </c>
      <c r="C19" s="15" t="n">
        <v>220</v>
      </c>
      <c r="D19" s="16">
        <f>C19/16783</f>
        <v/>
      </c>
    </row>
    <row r="20">
      <c r="A20" s="17" t="n">
        <v>19</v>
      </c>
      <c r="B20" s="11" t="inlineStr">
        <is>
          <t>OLIVE</t>
        </is>
      </c>
      <c r="C20" s="12" t="n">
        <v>216</v>
      </c>
      <c r="D20" s="13">
        <f>C20/16783</f>
        <v/>
      </c>
    </row>
    <row r="21">
      <c r="A21" s="18" t="n">
        <v>20</v>
      </c>
      <c r="B21" s="14" t="inlineStr">
        <is>
          <t>TAUPE</t>
        </is>
      </c>
      <c r="C21" s="15" t="n">
        <v>203</v>
      </c>
      <c r="D21" s="16">
        <f>C21/16783</f>
        <v/>
      </c>
    </row>
    <row r="22">
      <c r="A22" s="17" t="n">
        <v>21</v>
      </c>
      <c r="B22" s="11" t="inlineStr">
        <is>
          <t>TURQUOISE</t>
        </is>
      </c>
      <c r="C22" s="12" t="n">
        <v>184</v>
      </c>
      <c r="D22" s="13">
        <f>C22/16783</f>
        <v/>
      </c>
    </row>
    <row r="23">
      <c r="A23" s="18" t="n">
        <v>22</v>
      </c>
      <c r="B23" s="14" t="inlineStr">
        <is>
          <t>YELLOW</t>
        </is>
      </c>
      <c r="C23" s="15" t="n">
        <v>177</v>
      </c>
      <c r="D23" s="16">
        <f>C23/16783</f>
        <v/>
      </c>
    </row>
    <row r="24">
      <c r="A24" s="17" t="n">
        <v>23</v>
      </c>
      <c r="B24" s="11" t="inlineStr">
        <is>
          <t>TAN</t>
        </is>
      </c>
      <c r="C24" s="12" t="n">
        <v>170</v>
      </c>
      <c r="D24" s="13">
        <f>C24/16783</f>
        <v/>
      </c>
    </row>
    <row r="25">
      <c r="A25" s="18" t="n">
        <v>24</v>
      </c>
      <c r="B25" s="14" t="inlineStr">
        <is>
          <t>AQUA</t>
        </is>
      </c>
      <c r="C25" s="15" t="n">
        <v>161</v>
      </c>
      <c r="D25" s="16">
        <f>C25/16783</f>
        <v/>
      </c>
    </row>
    <row r="26">
      <c r="A26" s="17" t="n">
        <v>25</v>
      </c>
      <c r="B26" s="11" t="inlineStr">
        <is>
          <t>CHARCOAL</t>
        </is>
      </c>
      <c r="C26" s="12" t="n">
        <v>160</v>
      </c>
      <c r="D26" s="13">
        <f>C26/16783</f>
        <v/>
      </c>
    </row>
    <row r="27">
      <c r="A27" s="18" t="n">
        <v>26</v>
      </c>
      <c r="B27" s="14" t="inlineStr">
        <is>
          <t>ORANGE</t>
        </is>
      </c>
      <c r="C27" s="15" t="n">
        <v>148</v>
      </c>
      <c r="D27" s="16">
        <f>C27/16783</f>
        <v/>
      </c>
    </row>
    <row r="28">
      <c r="A28" s="17" t="n">
        <v>27</v>
      </c>
      <c r="B28" s="11" t="inlineStr">
        <is>
          <t>MINT</t>
        </is>
      </c>
      <c r="C28" s="12" t="n">
        <v>145</v>
      </c>
      <c r="D28" s="13">
        <f>C28/16783</f>
        <v/>
      </c>
    </row>
    <row r="29">
      <c r="A29" s="18" t="n">
        <v>28</v>
      </c>
      <c r="B29" s="14" t="inlineStr">
        <is>
          <t>CHAMPAGNE</t>
        </is>
      </c>
      <c r="C29" s="15" t="n">
        <v>142</v>
      </c>
      <c r="D29" s="16">
        <f>C29/16783</f>
        <v/>
      </c>
    </row>
    <row r="30">
      <c r="A30" s="17" t="n">
        <v>29</v>
      </c>
      <c r="B30" s="11" t="inlineStr">
        <is>
          <t>BURGUNDY</t>
        </is>
      </c>
      <c r="C30" s="12" t="n">
        <v>142</v>
      </c>
      <c r="D30" s="13">
        <f>C30/16783</f>
        <v/>
      </c>
    </row>
    <row r="31">
      <c r="A31" s="18" t="n">
        <v>30</v>
      </c>
      <c r="B31" s="14" t="inlineStr">
        <is>
          <t>CREAM</t>
        </is>
      </c>
      <c r="C31" s="15" t="n">
        <v>140</v>
      </c>
      <c r="D31" s="16">
        <f>C31/16783</f>
        <v/>
      </c>
    </row>
    <row r="32">
      <c r="A32" s="17" t="n">
        <v>31</v>
      </c>
      <c r="B32" s="11" t="inlineStr">
        <is>
          <t>CORAL</t>
        </is>
      </c>
      <c r="C32" s="12" t="n">
        <v>131</v>
      </c>
      <c r="D32" s="13">
        <f>C32/16783</f>
        <v/>
      </c>
    </row>
    <row r="33">
      <c r="A33" s="18" t="n">
        <v>32</v>
      </c>
      <c r="B33" s="14" t="inlineStr">
        <is>
          <t>PEWTER</t>
        </is>
      </c>
      <c r="C33" s="15" t="n">
        <v>128</v>
      </c>
      <c r="D33" s="16">
        <f>C33/16783</f>
        <v/>
      </c>
    </row>
    <row r="34">
      <c r="A34" s="17" t="n">
        <v>33</v>
      </c>
      <c r="B34" s="11" t="inlineStr">
        <is>
          <t>AURORA BOREALIS</t>
        </is>
      </c>
      <c r="C34" s="12" t="n">
        <v>126</v>
      </c>
      <c r="D34" s="13">
        <f>C34/16783</f>
        <v/>
      </c>
    </row>
    <row r="35">
      <c r="A35" s="18" t="n">
        <v>34</v>
      </c>
      <c r="B35" s="14" t="inlineStr">
        <is>
          <t>SILVER NIGHT</t>
        </is>
      </c>
      <c r="C35" s="15" t="n">
        <v>121</v>
      </c>
      <c r="D35" s="16">
        <f>C35/16783</f>
        <v/>
      </c>
    </row>
    <row r="36">
      <c r="A36" s="17" t="n">
        <v>35</v>
      </c>
      <c r="B36" s="11" t="inlineStr">
        <is>
          <t>FUCHSIA</t>
        </is>
      </c>
      <c r="C36" s="12" t="n">
        <v>114</v>
      </c>
      <c r="D36" s="13">
        <f>C36/16783</f>
        <v/>
      </c>
    </row>
    <row r="37">
      <c r="A37" s="18" t="n">
        <v>36</v>
      </c>
      <c r="B37" s="14" t="inlineStr">
        <is>
          <t>LAVENDER</t>
        </is>
      </c>
      <c r="C37" s="15" t="n">
        <v>114</v>
      </c>
      <c r="D37" s="16">
        <f>C37/16783</f>
        <v/>
      </c>
    </row>
    <row r="38">
      <c r="A38" s="17" t="n">
        <v>37</v>
      </c>
      <c r="B38" s="11" t="inlineStr">
        <is>
          <t>WINE</t>
        </is>
      </c>
      <c r="C38" s="12" t="n">
        <v>112</v>
      </c>
      <c r="D38" s="13">
        <f>C38/16783</f>
        <v/>
      </c>
    </row>
    <row r="39">
      <c r="A39" s="18" t="n">
        <v>38</v>
      </c>
      <c r="B39" s="14" t="inlineStr">
        <is>
          <t>BLUSH</t>
        </is>
      </c>
      <c r="C39" s="15" t="n">
        <v>109</v>
      </c>
      <c r="D39" s="16">
        <f>C39/16783</f>
        <v/>
      </c>
    </row>
    <row r="40">
      <c r="A40" s="17" t="n">
        <v>39</v>
      </c>
      <c r="B40" s="11" t="inlineStr">
        <is>
          <t>KHAKI</t>
        </is>
      </c>
      <c r="C40" s="12" t="n">
        <v>107</v>
      </c>
      <c r="D40" s="13">
        <f>C40/16783</f>
        <v/>
      </c>
    </row>
    <row r="41">
      <c r="A41" s="18" t="n">
        <v>40</v>
      </c>
      <c r="B41" s="14" t="inlineStr">
        <is>
          <t>CAMEL</t>
        </is>
      </c>
      <c r="C41" s="15" t="n">
        <v>105</v>
      </c>
      <c r="D41" s="16">
        <f>C41/16783</f>
        <v/>
      </c>
    </row>
    <row r="42">
      <c r="A42" s="17" t="n">
        <v>41</v>
      </c>
      <c r="B42" s="11" t="inlineStr">
        <is>
          <t>ROYAL</t>
        </is>
      </c>
      <c r="C42" s="12" t="n">
        <v>102</v>
      </c>
      <c r="D42" s="13">
        <f>C42/16783</f>
        <v/>
      </c>
    </row>
    <row r="43">
      <c r="A43" s="18" t="n">
        <v>42</v>
      </c>
      <c r="B43" s="14" t="inlineStr">
        <is>
          <t>BLACK &amp; WHITE</t>
        </is>
      </c>
      <c r="C43" s="15" t="n">
        <v>98</v>
      </c>
      <c r="D43" s="16">
        <f>C43/16783</f>
        <v/>
      </c>
    </row>
    <row r="44">
      <c r="A44" s="17" t="n">
        <v>43</v>
      </c>
      <c r="B44" s="11" t="inlineStr">
        <is>
          <t>BLACK/WHITE</t>
        </is>
      </c>
      <c r="C44" s="12" t="n">
        <v>98</v>
      </c>
      <c r="D44" s="13">
        <f>C44/16783</f>
        <v/>
      </c>
    </row>
    <row r="45">
      <c r="A45" s="18" t="n">
        <v>44</v>
      </c>
      <c r="B45" s="14" t="inlineStr">
        <is>
          <t>LIGHT BLUE</t>
        </is>
      </c>
      <c r="C45" s="15" t="n">
        <v>90</v>
      </c>
      <c r="D45" s="16">
        <f>C45/16783</f>
        <v/>
      </c>
    </row>
    <row r="46">
      <c r="A46" s="17" t="n">
        <v>45</v>
      </c>
      <c r="B46" s="11" t="inlineStr">
        <is>
          <t>ROSE</t>
        </is>
      </c>
      <c r="C46" s="12" t="n">
        <v>89</v>
      </c>
      <c r="D46" s="13">
        <f>C46/16783</f>
        <v/>
      </c>
    </row>
    <row r="47">
      <c r="A47" s="18" t="n">
        <v>46</v>
      </c>
      <c r="B47" s="14" t="inlineStr">
        <is>
          <t>ROYAL BLUE</t>
        </is>
      </c>
      <c r="C47" s="15" t="n">
        <v>87</v>
      </c>
      <c r="D47" s="16">
        <f>C47/16783</f>
        <v/>
      </c>
    </row>
    <row r="48">
      <c r="A48" s="17" t="n">
        <v>47</v>
      </c>
      <c r="B48" s="11" t="inlineStr">
        <is>
          <t>OFF WHITE</t>
        </is>
      </c>
      <c r="C48" s="12" t="n">
        <v>85</v>
      </c>
      <c r="D48" s="13">
        <f>C48/16783</f>
        <v/>
      </c>
    </row>
    <row r="49">
      <c r="A49" s="18" t="n">
        <v>48</v>
      </c>
      <c r="B49" s="14" t="inlineStr">
        <is>
          <t>MIDNIGHT</t>
        </is>
      </c>
      <c r="C49" s="15" t="n">
        <v>84</v>
      </c>
      <c r="D49" s="16">
        <f>C49/16783</f>
        <v/>
      </c>
    </row>
    <row r="50">
      <c r="A50" s="17" t="n">
        <v>49</v>
      </c>
      <c r="B50" s="11" t="inlineStr">
        <is>
          <t>ROSE GOLD</t>
        </is>
      </c>
      <c r="C50" s="12" t="n">
        <v>79</v>
      </c>
      <c r="D50" s="13">
        <f>C50/16783</f>
        <v/>
      </c>
    </row>
    <row r="51">
      <c r="A51" s="18" t="n">
        <v>50</v>
      </c>
      <c r="B51" s="14" t="inlineStr">
        <is>
          <t>INDIGO</t>
        </is>
      </c>
      <c r="C51" s="15" t="n">
        <v>75</v>
      </c>
      <c r="D51" s="16">
        <f>C51/16783</f>
        <v/>
      </c>
    </row>
    <row r="53">
      <c r="A53" s="19" t="inlineStr">
        <is>
          <t>Note:</t>
        </is>
      </c>
      <c r="B53" s="20" t="inlineStr">
        <is>
          <t>6,052 total unique color values. Top 50 shown above. Full list in color-audit-results.json</t>
        </is>
      </c>
    </row>
  </sheetData>
  <autoFilter ref="A1:D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0" customWidth="1" min="3" max="3"/>
    <col width="14" customWidth="1" min="4" max="4"/>
  </cols>
  <sheetData>
    <row r="1">
      <c r="A1" s="10" t="inlineStr">
        <is>
          <t>Metafield Key</t>
        </is>
      </c>
      <c r="B1" s="10" t="inlineStr">
        <is>
          <t>Products (Full Catalog)</t>
        </is>
      </c>
      <c r="C1" s="10" t="inlineStr">
        <is>
          <t>Confirmed Count</t>
        </is>
      </c>
      <c r="D1" s="10" t="inlineStr">
        <is>
          <t>Coverage %</t>
        </is>
      </c>
    </row>
    <row r="2">
      <c r="A2" s="11" t="inlineStr">
        <is>
          <t>shopify.color-pattern</t>
        </is>
      </c>
      <c r="B2" s="21" t="n">
        <v>1374</v>
      </c>
      <c r="C2" s="21" t="n">
        <v>1374</v>
      </c>
      <c r="D2" s="17" t="inlineStr">
        <is>
          <t>3.8%</t>
        </is>
      </c>
    </row>
    <row r="3">
      <c r="A3" s="14" t="inlineStr">
        <is>
          <t>shopify.size</t>
        </is>
      </c>
      <c r="B3" s="22" t="n">
        <v>934</v>
      </c>
      <c r="C3" s="22" t="n">
        <v>934</v>
      </c>
      <c r="D3" s="18" t="inlineStr">
        <is>
          <t>2.6%</t>
        </is>
      </c>
    </row>
    <row r="4">
      <c r="A4" s="11" t="inlineStr">
        <is>
          <t>shopify.age-group</t>
        </is>
      </c>
      <c r="B4" s="21" t="n">
        <v>407</v>
      </c>
      <c r="C4" s="21" t="n">
        <v>407</v>
      </c>
      <c r="D4" s="17" t="inlineStr">
        <is>
          <t>1.1%</t>
        </is>
      </c>
    </row>
    <row r="5">
      <c r="A5" s="14" t="inlineStr">
        <is>
          <t>shopify.fabric</t>
        </is>
      </c>
      <c r="B5" s="22" t="n">
        <v>379</v>
      </c>
      <c r="C5" s="22" t="n">
        <v>379</v>
      </c>
      <c r="D5" s="18" t="inlineStr">
        <is>
          <t>1.1%</t>
        </is>
      </c>
    </row>
    <row r="6">
      <c r="A6" s="11" t="inlineStr">
        <is>
          <t>shopify.target-gender</t>
        </is>
      </c>
      <c r="B6" s="21" t="n">
        <v>377</v>
      </c>
      <c r="C6" s="21" t="n">
        <v>377</v>
      </c>
      <c r="D6" s="17" t="inlineStr">
        <is>
          <t>1.1%</t>
        </is>
      </c>
    </row>
    <row r="7">
      <c r="A7" s="14" t="inlineStr">
        <is>
          <t>shopify.neckline</t>
        </is>
      </c>
      <c r="B7" s="22" t="n">
        <v>221</v>
      </c>
      <c r="C7" s="22" t="n">
        <v>221</v>
      </c>
      <c r="D7" s="18" t="inlineStr">
        <is>
          <t>0.6%</t>
        </is>
      </c>
    </row>
    <row r="8">
      <c r="A8" s="11" t="inlineStr">
        <is>
          <t>shopify.sleeve-length-type</t>
        </is>
      </c>
      <c r="B8" s="21" t="n">
        <v>207</v>
      </c>
      <c r="C8" s="21" t="n">
        <v>207</v>
      </c>
      <c r="D8" s="17" t="inlineStr">
        <is>
          <t>0.6%</t>
        </is>
      </c>
    </row>
    <row r="9">
      <c r="A9" s="14" t="inlineStr">
        <is>
          <t>shopify.top-length-type</t>
        </is>
      </c>
      <c r="B9" s="22" t="n">
        <v>145</v>
      </c>
      <c r="C9" s="22" t="n">
        <v>145</v>
      </c>
      <c r="D9" s="18" t="inlineStr">
        <is>
          <t>0.4%</t>
        </is>
      </c>
    </row>
    <row r="11">
      <c r="A11" s="19" t="inlineStr">
        <is>
          <t>KEY FINDINGS:</t>
        </is>
      </c>
    </row>
    <row r="12">
      <c r="A12" s="20" t="inlineStr">
        <is>
          <t>- 1,374 products have shopify.color-pattern — referencing 405 unique color metaobjects</t>
        </is>
      </c>
    </row>
    <row r="13">
      <c r="A13" s="20" t="inlineStr">
        <is>
          <t>- Heavily concentrated in newest products (recent tagging initiative)</t>
        </is>
      </c>
    </row>
    <row r="14">
      <c r="A14" s="20" t="inlineStr">
        <is>
          <t>- API token lacks read_metaobjects scope — cannot read metaobject contents</t>
        </is>
      </c>
    </row>
    <row r="15">
      <c r="A15" s="20" t="inlineStr">
        <is>
          <t>- 1,514 total products (4.2%) have ANY Shopify standard metafield</t>
        </is>
      </c>
    </row>
    <row r="16">
      <c r="A16" s="20" t="inlineStr">
        <is>
          <t>- The other 15,409 products with color use variant OPTIONS only (not metafields)</t>
        </is>
      </c>
    </row>
    <row r="17">
      <c r="A17" s="20" t="inlineStr"/>
    </row>
    <row r="18">
      <c r="A18" s="19" t="inlineStr">
        <is>
          <t>OTHER METAFIELDS (present on most products but NOT color-related):</t>
        </is>
      </c>
    </row>
    <row r="19">
      <c r="A19" s="20" t="inlineStr">
        <is>
          <t>- global.description_tag: ~98% of products (SEO meta descriptions)</t>
        </is>
      </c>
    </row>
    <row r="20">
      <c r="A20" s="20" t="inlineStr">
        <is>
          <t>- mc-facebook.google_product_category: ~76% (Google Shopping categories)</t>
        </is>
      </c>
    </row>
    <row r="21">
      <c r="A21" s="20" t="inlineStr">
        <is>
          <t>- global.title_tag: ~74% (SEO title overrides)</t>
        </is>
      </c>
    </row>
    <row r="22">
      <c r="A22" s="20" t="inlineStr">
        <is>
          <t>- SEOMetaManager.config: ~69% (SEO app configuration)</t>
        </is>
      </c>
    </row>
    <row r="23">
      <c r="A23" s="20" t="inlineStr">
        <is>
          <t>- seo.hidden: ~46% (SEO visibility flags)</t>
        </is>
      </c>
    </row>
  </sheetData>
  <mergeCells count="13">
    <mergeCell ref="A17:D17"/>
    <mergeCell ref="A18:D18"/>
    <mergeCell ref="A23:D23"/>
    <mergeCell ref="A22:D22"/>
    <mergeCell ref="A12:D12"/>
    <mergeCell ref="A20:D20"/>
    <mergeCell ref="A21:D21"/>
    <mergeCell ref="A15:D15"/>
    <mergeCell ref="A16:D16"/>
    <mergeCell ref="A11:D11"/>
    <mergeCell ref="A19:D19"/>
    <mergeCell ref="A13:D13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4" customWidth="1" min="3" max="3"/>
    <col width="28" customWidth="1" min="4" max="4"/>
    <col width="20" customWidth="1" min="5" max="5"/>
  </cols>
  <sheetData>
    <row r="1">
      <c r="A1" s="10" t="inlineStr">
        <is>
          <t>Phase</t>
        </is>
      </c>
      <c r="B1" s="10" t="inlineStr">
        <is>
          <t>Description</t>
        </is>
      </c>
      <c r="C1" s="10" t="inlineStr">
        <is>
          <t>Effort</t>
        </is>
      </c>
      <c r="D1" s="10" t="inlineStr">
        <is>
          <t>Risk</t>
        </is>
      </c>
      <c r="E1" s="10" t="inlineStr">
        <is>
          <t>Products Modified</t>
        </is>
      </c>
    </row>
    <row r="2" ht="45" customHeight="1">
      <c r="A2" s="17" t="inlineStr">
        <is>
          <t>Phase 1</t>
        </is>
      </c>
      <c r="B2" s="23" t="inlineStr">
        <is>
          <t>Activate Color Swatches — populate theme color_swatch_config with hex codes for all existing color option values. Makes filters show colored squares instead of text.</t>
        </is>
      </c>
      <c r="C2" s="17" t="inlineStr">
        <is>
          <t>2-3 hours</t>
        </is>
      </c>
      <c r="D2" s="23" t="inlineStr">
        <is>
          <t>None — theme display setting only, easily reversible</t>
        </is>
      </c>
      <c r="E2" s="17" t="inlineStr">
        <is>
          <t>0</t>
        </is>
      </c>
    </row>
    <row r="3" ht="45" customHeight="1">
      <c r="A3" s="18" t="inlineStr">
        <is>
          <t>Phase 2</t>
        </is>
      </c>
      <c r="B3" s="24" t="inlineStr">
        <is>
          <t>Standardize Option Names — rename "COLOR" (4,019) and "color" (17) to "Color" so Search &amp; Discovery treats them as one unified filter.</t>
        </is>
      </c>
      <c r="C3" s="18" t="inlineStr">
        <is>
          <t>1-2 hours</t>
        </is>
      </c>
      <c r="D3" s="24" t="inlineStr">
        <is>
          <t>Low — cosmetic option label change only, does not affect inventory or variants</t>
        </is>
      </c>
      <c r="E3" s="18" t="inlineStr">
        <is>
          <t>4,036</t>
        </is>
      </c>
    </row>
    <row r="4" ht="45" customHeight="1">
      <c r="A4" s="17" t="inlineStr">
        <is>
          <t>Phase 3</t>
        </is>
      </c>
      <c r="B4" s="23" t="inlineStr">
        <is>
          <t>Improve Swatch Appearance — evaluate default Prestige theme swatch CSS and make adjustments for shape, size, spacing, mobile tap targets.</t>
        </is>
      </c>
      <c r="C4" s="17" t="inlineStr">
        <is>
          <t>1-2 hours</t>
        </is>
      </c>
      <c r="D4" s="23" t="inlineStr">
        <is>
          <t>None — cosmetic CSS changes tested on dev theme first</t>
        </is>
      </c>
      <c r="E4" s="17" t="inlineStr">
        <is>
          <t>0</t>
        </is>
      </c>
    </row>
    <row r="5" ht="45" customHeight="1">
      <c r="A5" s="18" t="inlineStr">
        <is>
          <t>Phase 4</t>
        </is>
      </c>
      <c r="B5" s="24" t="inlineStr">
        <is>
          <t>Add Color Data to Products — add Color options to in-stock products that currently lack them. Priority: clothing types (T O C, J A K, D R C, etc.)</t>
        </is>
      </c>
      <c r="C5" s="18" t="inlineStr">
        <is>
          <t>1-4 weeks</t>
        </is>
      </c>
      <c r="D5" s="24" t="inlineStr">
        <is>
          <t>Medium — modifies product data. Use dry-run testing. Can be done incrementally by product type.</t>
        </is>
      </c>
      <c r="E5" s="18" t="inlineStr">
        <is>
          <t>TBD (up to 6,327 in-stock)</t>
        </is>
      </c>
    </row>
    <row r="6" ht="45" customHeight="1">
      <c r="A6" s="17" t="inlineStr">
        <is>
          <t>Phase 5</t>
        </is>
      </c>
      <c r="B6" s="23" t="inlineStr">
        <is>
          <t>Search &amp; Discovery Optimization — verify/configure the Color filter in S&amp;D app. Ensure proper sort order and display.</t>
        </is>
      </c>
      <c r="C6" s="17" t="inlineStr">
        <is>
          <t>30 min</t>
        </is>
      </c>
      <c r="D6" s="23" t="inlineStr">
        <is>
          <t>None</t>
        </is>
      </c>
      <c r="E6" s="17" t="inlineStr">
        <is>
          <t>0</t>
        </is>
      </c>
    </row>
    <row r="7" ht="45" customHeight="1">
      <c r="A7" s="18" t="inlineStr">
        <is>
          <t>Phase 6</t>
        </is>
      </c>
      <c r="B7" s="24" t="inlineStr">
        <is>
          <t>Publish to Live — apply swatch config from dev theme (145504469107) to live theme (138024386675). Verify on production.</t>
        </is>
      </c>
      <c r="C7" s="18" t="inlineStr">
        <is>
          <t>30 min</t>
        </is>
      </c>
      <c r="D7" s="24" t="inlineStr">
        <is>
          <t>Low — all changes tested on dev theme first</t>
        </is>
      </c>
      <c r="E7" s="18" t="inlineStr">
        <is>
          <t>0</t>
        </is>
      </c>
    </row>
    <row r="10">
      <c r="A10" s="3" t="inlineStr">
        <is>
          <t>RECOMMENDATION</t>
        </is>
      </c>
    </row>
    <row r="11">
      <c r="A11" s="20" t="inlineStr">
        <is>
          <t xml:space="preserve">  1. Start with Phases 1 + 2 (quick wins, 3-5 hours total, no product data risk) — immediately makes existing color data functional and visual.</t>
        </is>
      </c>
    </row>
    <row r="12">
      <c r="A12" s="20" t="inlineStr">
        <is>
          <t xml:space="preserve">  2. Evaluate Phase 3 after seeing Phases 1-2 live — the built-in Prestige styling may be sufficient.</t>
        </is>
      </c>
    </row>
    <row r="13">
      <c r="A13" s="20" t="inlineStr">
        <is>
          <t xml:space="preserve">  3. Scope Phase 4 based on priorities — focus on clothing/fashion product types first (T O C, J A K, D R C), exclude Home (H O A) and Food (F O D).</t>
        </is>
      </c>
    </row>
    <row r="14">
      <c r="A14" s="20" t="inlineStr">
        <is>
          <t xml:space="preserve">  4. Phase 4 can be done incrementally, one product type at a time, with review between batches.</t>
        </is>
      </c>
    </row>
    <row r="15">
      <c r="A15" s="20" t="inlineStr">
        <is>
          <t xml:space="preserve">  5. Note: ~207 products already have shopify.color-pattern metafields. Adding read_metaobjects API scope would let us audit what color data those contain.</t>
        </is>
      </c>
    </row>
  </sheetData>
  <mergeCells count="6">
    <mergeCell ref="A12:E12"/>
    <mergeCell ref="A15:E15"/>
    <mergeCell ref="A10:E10"/>
    <mergeCell ref="A11:E11"/>
    <mergeCell ref="A13:E13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2026-05-19T02:58:06Z</dcterms:created>
  <dcterms:modified xmlns:dcterms="http://purl.org/dc/terms/" xmlns:xsi="http://www.w3.org/2001/XMLSchema-instance" xsi:type="dcterms:W3CDTF">2026-05-19T02:58:06Z</dcterms:modified>
</cp:coreProperties>
</file>