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A:\TKBS Marketing - Git\Shopify-Website-Builder\RMD\"/>
    </mc:Choice>
  </mc:AlternateContent>
  <xr:revisionPtr revIDLastSave="0" documentId="13_ncr:1_{3721E2FF-35A8-4AA6-A6B1-141D680B7D26}" xr6:coauthVersionLast="47" xr6:coauthVersionMax="47" xr10:uidLastSave="{00000000-0000-0000-0000-000000000000}"/>
  <bookViews>
    <workbookView xWindow="31350" yWindow="2625" windowWidth="30360" windowHeight="17040" xr2:uid="{00000000-000D-0000-FFFF-FFFF00000000}"/>
  </bookViews>
  <sheets>
    <sheet name="Executive Summary" sheetId="1" r:id="rId1"/>
    <sheet name="Product SEO" sheetId="2" r:id="rId2"/>
    <sheet name="Collection SEO" sheetId="3" r:id="rId3"/>
    <sheet name="Technical SEO" sheetId="4" r:id="rId4"/>
    <sheet name="Pages &amp; Blog" sheetId="5" r:id="rId5"/>
    <sheet name="Local SEO &amp; Entity" sheetId="6" r:id="rId6"/>
    <sheet name="AEO Readiness" sheetId="7" r:id="rId7"/>
    <sheet name="Fix Roadmap" sheetId="8" r:id="rId8"/>
  </sheets>
  <definedNames>
    <definedName name="_xlnm._FilterDatabase" localSheetId="2" hidden="1">'Collection SEO'!$A$4:$I$29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C31" i="1"/>
  <c r="C30" i="1"/>
  <c r="C29" i="1"/>
  <c r="C17" i="1"/>
  <c r="C16" i="1"/>
  <c r="C15" i="1"/>
  <c r="C14" i="1"/>
  <c r="C13" i="1"/>
  <c r="C12" i="1"/>
  <c r="C11" i="1"/>
  <c r="C10" i="1"/>
</calcChain>
</file>

<file path=xl/sharedStrings.xml><?xml version="1.0" encoding="utf-8"?>
<sst xmlns="http://schemas.openxmlformats.org/spreadsheetml/2006/main" count="565" uniqueCount="363">
  <si>
    <t>Rachel Marie Designs — SEO &amp; AEO Plan</t>
  </si>
  <si>
    <t>Audit date: June 11, 2026  |  rmdjewelry.com  |  Scope: in-stock products (268)  |  Source: Shopify Admin API + live site crawl</t>
  </si>
  <si>
    <t>IN-STOCK MISSING SEO TITLE</t>
  </si>
  <si>
    <t>IN-STOCK MISSING TAGS</t>
  </si>
  <si>
    <t>COLLECTIONS WITHOUT DESCRIPTION</t>
  </si>
  <si>
    <t>LAST BLOG POST</t>
  </si>
  <si>
    <t>2025-09</t>
  </si>
  <si>
    <t>268 products</t>
  </si>
  <si>
    <t>87 products</t>
  </si>
  <si>
    <t>31 of 39 collections</t>
  </si>
  <si>
    <t>fresh content is what AI cites</t>
  </si>
  <si>
    <t>PRODUCT SEO GAPS — IN-STOCK PRODUCTS (the work scope)</t>
  </si>
  <si>
    <t>Gap</t>
  </si>
  <si>
    <t>In-Stock</t>
  </si>
  <si>
    <t>% of in-stock</t>
  </si>
  <si>
    <t>Full catalog (ref)</t>
  </si>
  <si>
    <t>Severity</t>
  </si>
  <si>
    <t>Missing SEO title tag</t>
  </si>
  <si>
    <t>CRITICAL</t>
  </si>
  <si>
    <t>Missing tags</t>
  </si>
  <si>
    <t>Missing meta description</t>
  </si>
  <si>
    <t>Missing ALL product images</t>
  </si>
  <si>
    <t>Missing description (body)</t>
  </si>
  <si>
    <t>Duplicate titles</t>
  </si>
  <si>
    <t>WARNING</t>
  </si>
  <si>
    <t>Short description (&lt;100 chars)</t>
  </si>
  <si>
    <t>No alt text on any image</t>
  </si>
  <si>
    <t>COLLECTION PAGES — category-level content Google &amp; AI rely on</t>
  </si>
  <si>
    <t>Description status</t>
  </si>
  <si>
    <t>Collections</t>
  </si>
  <si>
    <t>% of all</t>
  </si>
  <si>
    <t>No description</t>
  </si>
  <si>
    <t>Short (&lt;100 chars)</t>
  </si>
  <si>
    <t>Good (100+ chars)</t>
  </si>
  <si>
    <t>Total collections</t>
  </si>
  <si>
    <t>In site navigation (shopper-visible)</t>
  </si>
  <si>
    <t>Navigable collections needing SEO work</t>
  </si>
  <si>
    <t>Missing custom SEO title</t>
  </si>
  <si>
    <t>Empty (0 products)</t>
  </si>
  <si>
    <t>TECHNICAL &amp; AEO SNAPSHOT (live site, June 11, 2026)</t>
  </si>
  <si>
    <t>Check</t>
  </si>
  <si>
    <t>Status</t>
  </si>
  <si>
    <t>Homepage title tag</t>
  </si>
  <si>
    <t>“Rachel Marie Designs” — generic, no keywords</t>
  </si>
  <si>
    <t>Homepage meta description</t>
  </si>
  <si>
    <t>Present</t>
  </si>
  <si>
    <t>OK</t>
  </si>
  <si>
    <t>Product structured data (JSON-LD)</t>
  </si>
  <si>
    <t>MISSING on live product page</t>
  </si>
  <si>
    <t>Collection meta descriptions</t>
  </si>
  <si>
    <t>Open Graph / Twitter cards</t>
  </si>
  <si>
    <t>5 og: / 3 twitter: tags on homepage</t>
  </si>
  <si>
    <t>Collection filters</t>
  </si>
  <si>
    <t>Filters incl. color</t>
  </si>
  <si>
    <t>Blog freshness</t>
  </si>
  <si>
    <t>Last post 2025-09</t>
  </si>
  <si>
    <t>Theme housekeeping</t>
  </si>
  <si>
    <t>19 themes on store — REVIEW for unpublished work</t>
  </si>
  <si>
    <t>VERIFY</t>
  </si>
  <si>
    <t>BLOG ACTIVITY BY YEAR — fresh content is what AI assistants cite</t>
  </si>
  <si>
    <t>Year</t>
  </si>
  <si>
    <t>Articles published</t>
  </si>
  <si>
    <t>2022</t>
  </si>
  <si>
    <t>2023</t>
  </si>
  <si>
    <t>2024</t>
  </si>
  <si>
    <t>2025</t>
  </si>
  <si>
    <t>2026</t>
  </si>
  <si>
    <t>Product SEO — Detail</t>
  </si>
  <si>
    <t>In-stock scope: 268 products. Full-catalog figures shown for reference only.</t>
  </si>
  <si>
    <t>Issue</t>
  </si>
  <si>
    <t>% In-Stock</t>
  </si>
  <si>
    <t>Full Catalog</t>
  </si>
  <si>
    <t>% Catalog</t>
  </si>
  <si>
    <t>Impact</t>
  </si>
  <si>
    <t>Fix Approach</t>
  </si>
  <si>
    <t>Google shows auto-generated titles; no keyword targeting.</t>
  </si>
  <si>
    <t>Bulk-generate from title + brand + category</t>
  </si>
  <si>
    <t>No filtering, categorization, or AI taxonomy signals.</t>
  </si>
  <si>
    <t>Bulk-tag from type + vendor + attributes</t>
  </si>
  <si>
    <t>Google writes its own snippet; lower click-through.</t>
  </si>
  <si>
    <t>Bulk-generate benefit-led snippets</t>
  </si>
  <si>
    <t>Missing ALL images</t>
  </si>
  <si>
    <t>Invisible to image search, Shopping, and social.</t>
  </si>
  <si>
    <t>Photograph or hide until photographed</t>
  </si>
  <si>
    <t>Nothing for Google or AI to index.</t>
  </si>
  <si>
    <t>Generate from title/vendor/type, then review</t>
  </si>
  <si>
    <t>Thin content ranks poorly; AI skips it.</t>
  </si>
  <si>
    <t>Expand with feature/benefit copy</t>
  </si>
  <si>
    <t>Images without alt text</t>
  </si>
  <si>
    <t>Of 925 in-stock images.</t>
  </si>
  <si>
    <t>Script alt = title + color</t>
  </si>
  <si>
    <t>No alt text on ANY image</t>
  </si>
  <si>
    <t>Whole product invisible to image search.</t>
  </si>
  <si>
    <t>Same script — run these first</t>
  </si>
  <si>
    <t>Duplicate titles (0 titles shared)</t>
  </si>
  <si>
    <t>Products compete with each other in search.</t>
  </si>
  <si>
    <t>Differentiate with color/style descriptors</t>
  </si>
  <si>
    <t>Missing product type</t>
  </si>
  <si>
    <t>Minor gap.</t>
  </si>
  <si>
    <t>Fill from vendor catalog</t>
  </si>
  <si>
    <t>Collection SEO — Navigable Collections Worklist</t>
  </si>
  <si>
    <t>25 collections reachable from site navigation  |  25 need SEO work  |  store has 39 collections total (3 empty)</t>
  </si>
  <si>
    <t>Category</t>
  </si>
  <si>
    <t>URL</t>
  </si>
  <si>
    <t>Title</t>
  </si>
  <si>
    <t>Products</t>
  </si>
  <si>
    <t>Description?</t>
  </si>
  <si>
    <t>Desc Length</t>
  </si>
  <si>
    <t>Custom SEO Title?</t>
  </si>
  <si>
    <t>Proposed SEO Title (EDIT PER CLIENT)</t>
  </si>
  <si>
    <t>Needs Work</t>
  </si>
  <si>
    <t>Top-Level</t>
  </si>
  <si>
    <t>/collections/accessories</t>
  </si>
  <si>
    <t>Accessories</t>
  </si>
  <si>
    <t>No</t>
  </si>
  <si>
    <t>Yes</t>
  </si>
  <si>
    <t>/collections/all</t>
  </si>
  <si>
    <t>All</t>
  </si>
  <si>
    <t>/collections/bracelets</t>
  </si>
  <si>
    <t>Bracelets</t>
  </si>
  <si>
    <t>/collections/cuff</t>
  </si>
  <si>
    <t>Bracelets / Cuff</t>
  </si>
  <si>
    <t>/collections/dangle</t>
  </si>
  <si>
    <t>Earring / Dangle</t>
  </si>
  <si>
    <t>/collections/earrings</t>
  </si>
  <si>
    <t>Earrings</t>
  </si>
  <si>
    <t>/collections/essentials</t>
  </si>
  <si>
    <t>Essentials</t>
  </si>
  <si>
    <t>/collections/gifts-under-50</t>
  </si>
  <si>
    <t>Gifts Under $50</t>
  </si>
  <si>
    <t>/collections/jewelry</t>
  </si>
  <si>
    <t>JEWELRY</t>
  </si>
  <si>
    <t>/collections/long-necklaces</t>
  </si>
  <si>
    <t>Long Necklaces</t>
  </si>
  <si>
    <t>Short</t>
  </si>
  <si>
    <t>/collections/miscellaneous</t>
  </si>
  <si>
    <t>Miscellaneous</t>
  </si>
  <si>
    <t>/collections/necklace-tennis</t>
  </si>
  <si>
    <t>Necklace / Tennis</t>
  </si>
  <si>
    <t>/collections/necklaces</t>
  </si>
  <si>
    <t>Necklaces</t>
  </si>
  <si>
    <t>/collections/new-arrivals</t>
  </si>
  <si>
    <t>New Arrivals</t>
  </si>
  <si>
    <t>/collections/pendant</t>
  </si>
  <si>
    <t>Necklaces / Pendant</t>
  </si>
  <si>
    <t>/collections/post</t>
  </si>
  <si>
    <t>Earrings / Post</t>
  </si>
  <si>
    <t>/collections/rings</t>
  </si>
  <si>
    <t>Rings</t>
  </si>
  <si>
    <t>/collections/sale</t>
  </si>
  <si>
    <t>Sale</t>
  </si>
  <si>
    <t>/collections/short-necklaces</t>
  </si>
  <si>
    <t>Essentials / Necklace / Short Necklaces</t>
  </si>
  <si>
    <t>/collections/statement</t>
  </si>
  <si>
    <t>Earrings / Statement</t>
  </si>
  <si>
    <t>/collections/stretch</t>
  </si>
  <si>
    <t>Bracelets / Stretch</t>
  </si>
  <si>
    <t>/collections/tennis</t>
  </si>
  <si>
    <t>Bracelets / Tennis</t>
  </si>
  <si>
    <t>Subcategory</t>
  </si>
  <si>
    <t>/collections/essentials-bracelets</t>
  </si>
  <si>
    <t>Essentials Bracelets</t>
  </si>
  <si>
    <t>/collections/essentials-earrings</t>
  </si>
  <si>
    <t>Essentials Earrings</t>
  </si>
  <si>
    <t>/collections/essentials-necklaces</t>
  </si>
  <si>
    <t>Essentials Necklaces</t>
  </si>
  <si>
    <t>Technical SEO — Live Site &amp; Theme</t>
  </si>
  <si>
    <t>Live theme: RMD JEWEL MAG-3 HOME FINAL W with B2H - 2025-11-10 (id 149311193274)  |  19 themes on store  |  checked June 11, 2026</t>
  </si>
  <si>
    <t>Details / Recommendation</t>
  </si>
  <si>
    <t>Generic</t>
  </si>
  <si>
    <t>Live title: “Rachel Marie Designs”. Add product keywords + location.</t>
  </si>
  <si>
    <t>Swarovski Crystal Elements Jewelry. USA Studio. Urban Elements. Handmade in Michigan.</t>
  </si>
  <si>
    <t>Homepage H1</t>
  </si>
  <si>
    <t>Empty/missing</t>
  </si>
  <si>
    <t>H1 count: 1; texts: ['']</t>
  </si>
  <si>
    <t>Homepage JSON-LD</t>
  </si>
  <si>
    <t>0 blocks</t>
  </si>
  <si>
    <t xml:space="preserve">Types: </t>
  </si>
  <si>
    <t>Product JSON-LD</t>
  </si>
  <si>
    <t>Missing</t>
  </si>
  <si>
    <t xml:space="preserve">Types on sampled product page: </t>
  </si>
  <si>
    <t>Collection meta description</t>
  </si>
  <si>
    <t>Sampled /collections/essentials. Shopify pulls this from the collection description/SEO fields.</t>
  </si>
  <si>
    <t>Theme-level og/JSON-LD backstop</t>
  </si>
  <si>
    <t>If live pages show schema but theme.liquid has none, an APP is injecting it — removal risk. Add theme-level backstop.</t>
  </si>
  <si>
    <t>Canonical tags</t>
  </si>
  <si>
    <t>Shopify canonical URL in theme.liquid.</t>
  </si>
  <si>
    <t>Viewport / mobile</t>
  </si>
  <si>
    <t>Preconnect hints</t>
  </si>
  <si>
    <t>Preconnect to CDN/font hosts is an easy page-speed win.</t>
  </si>
  <si>
    <t>Color swatch config</t>
  </si>
  <si>
    <t>Empty</t>
  </si>
  <si>
    <t>Theme swatch config drives color squares in filters.</t>
  </si>
  <si>
    <t>color</t>
  </si>
  <si>
    <t>See Inventory Recovery Plan for the data work required.</t>
  </si>
  <si>
    <t>19 themes</t>
  </si>
  <si>
    <t>REVIEW unpublished themes for unreleased SEO work before making new theme edits: Debut (updated 2022-06-20); Copy of Theboutique (updated 2025-05-18); Boutique (updated 2025-06-29); Reference_SRH (updated 2025-06-29); Theboutique with B2H - 2025-07-17 (updated 2025-11-05); mag-home-3 (updated 2025-11-11)</t>
  </si>
  <si>
    <t>Pages &amp; Blog</t>
  </si>
  <si>
    <t>12 pages (10 published, 2 draft)  |  5 blog articles, last published 2025-09</t>
  </si>
  <si>
    <t>Page Title</t>
  </si>
  <si>
    <t>Handle</t>
  </si>
  <si>
    <t>Content Length</t>
  </si>
  <si>
    <t>Note</t>
  </si>
  <si>
    <t>Privacy Policy</t>
  </si>
  <si>
    <t>privacy-policy</t>
  </si>
  <si>
    <t>Published</t>
  </si>
  <si>
    <t>About Us</t>
  </si>
  <si>
    <t>about-us</t>
  </si>
  <si>
    <t>Jewelry Care</t>
  </si>
  <si>
    <t>jewelry-care</t>
  </si>
  <si>
    <t>Net Orders Thank You</t>
  </si>
  <si>
    <t>net-orders-thank-you</t>
  </si>
  <si>
    <t>Very thin — expand or unpublish</t>
  </si>
  <si>
    <t>Wholesale</t>
  </si>
  <si>
    <t>wholesale</t>
  </si>
  <si>
    <t>Contact RMD</t>
  </si>
  <si>
    <t>contact-us</t>
  </si>
  <si>
    <t>EMPTY — no content</t>
  </si>
  <si>
    <t>FAQ</t>
  </si>
  <si>
    <t>faq</t>
  </si>
  <si>
    <t>Care Guide</t>
  </si>
  <si>
    <t>care-guide</t>
  </si>
  <si>
    <t>Blog</t>
  </si>
  <si>
    <t>blog</t>
  </si>
  <si>
    <t>Wishlist</t>
  </si>
  <si>
    <t>wishlist</t>
  </si>
  <si>
    <t>Store Locator</t>
  </si>
  <si>
    <t>store-locator</t>
  </si>
  <si>
    <t>Draft</t>
  </si>
  <si>
    <t>Store Locator - Rachel Marie Designs</t>
  </si>
  <si>
    <t>sca-store-locator</t>
  </si>
  <si>
    <t>BLOG</t>
  </si>
  <si>
    <t>Total articles</t>
  </si>
  <si>
    <t>Last published</t>
  </si>
  <si>
    <t>Posts in the last 2 years</t>
  </si>
  <si>
    <t>Local SEO &amp; Entity Signals</t>
  </si>
  <si>
    <t>What the site currently tells Google/AI about the business (read from live structured data). VERIFY EXTERNALLY.</t>
  </si>
  <si>
    <t>Signal</t>
  </si>
  <si>
    <t>Value on site</t>
  </si>
  <si>
    <t>Action</t>
  </si>
  <si>
    <t>Business name</t>
  </si>
  <si>
    <t>Rachel Marie Designs</t>
  </si>
  <si>
    <t>Keep consistent everywhere</t>
  </si>
  <si>
    <t>Address (schema)</t>
  </si>
  <si>
    <t>NOT FOUND in structured data</t>
  </si>
  <si>
    <t>Verify matches Google Business Profile exactly</t>
  </si>
  <si>
    <t>Phone (schema)</t>
  </si>
  <si>
    <t>Verify matches GBP &amp; directories</t>
  </si>
  <si>
    <t>Hours (schema)</t>
  </si>
  <si>
    <t>Confirm these are the real current hours</t>
  </si>
  <si>
    <t>Schema type</t>
  </si>
  <si>
    <t>No business schema found</t>
  </si>
  <si>
    <t>LocalBusiness/Store type recommended for brick-and-mortar</t>
  </si>
  <si>
    <t>Social profiles (sameAs)</t>
  </si>
  <si>
    <t>NOT FOUND</t>
  </si>
  <si>
    <t>Verify links live and active</t>
  </si>
  <si>
    <t>Google Business Profile</t>
  </si>
  <si>
    <t>Not verifiable from site</t>
  </si>
  <si>
    <t>Confirm claimed, categories set, photos current</t>
  </si>
  <si>
    <t>AEO Readiness — Will AI Assistants Recommend This Store?</t>
  </si>
  <si>
    <t>AI engines (ChatGPT, Perplexity, Google AI Overviews) need machine-readable content.</t>
  </si>
  <si>
    <t>Ingredient</t>
  </si>
  <si>
    <t>Current State</t>
  </si>
  <si>
    <t>Why It Matters</t>
  </si>
  <si>
    <t>Fix</t>
  </si>
  <si>
    <t>Product structured data</t>
  </si>
  <si>
    <t>AI reads price, availability, brand from schema.</t>
  </si>
  <si>
    <t>Maintain; add review/rating data when available</t>
  </si>
  <si>
    <t>Product descriptions</t>
  </si>
  <si>
    <t>108 in-stock products have none</t>
  </si>
  <si>
    <t>AI cannot recommend a product it can't understand.</t>
  </si>
  <si>
    <t>Bulk-generate, even 2–3 sentences each</t>
  </si>
  <si>
    <t>Product tags / taxonomy</t>
  </si>
  <si>
    <t>87 in-stock untagged (32%)</t>
  </si>
  <si>
    <t>Tags feed category understanding.</t>
  </si>
  <si>
    <t>Bulk-tag from type/vendor/attributes</t>
  </si>
  <si>
    <t>Collection page content</t>
  </si>
  <si>
    <t>31 of 39 have no description</t>
  </si>
  <si>
    <t>Category pages are what AI reads to learn what the store sells.</t>
  </si>
  <si>
    <t>Write descriptions for the 25 navigable collections first</t>
  </si>
  <si>
    <t>Fresh, citable content</t>
  </si>
  <si>
    <t>Last blog post 2025-09</t>
  </si>
  <si>
    <t>AI cites recent content for “best X for Y” queries.</t>
  </si>
  <si>
    <t>Revive blog around shopping questions</t>
  </si>
  <si>
    <t>Entity clarity</t>
  </si>
  <si>
    <t>Homepage title: “Rachel Marie Designs”</t>
  </si>
  <si>
    <t>The brand must be unambiguous to AI.</t>
  </si>
  <si>
    <t>Keyworded title, unified schema, consistent NAP</t>
  </si>
  <si>
    <t>SEO &amp; AEO — Fix Roadmap</t>
  </si>
  <si>
    <t>Priority order: publish what exists, then bulk wins, then content depth. REVIEW EFFORT ESTIMATES PER CLIENT.</t>
  </si>
  <si>
    <t>Priority</t>
  </si>
  <si>
    <t>Scope</t>
  </si>
  <si>
    <t>Effort</t>
  </si>
  <si>
    <t>Expected Impact</t>
  </si>
  <si>
    <t>P1</t>
  </si>
  <si>
    <t>Theme-level quick wins on the LIVE theme: keyworded homepage title + meta, H1 fix, JSON-LD/OG backstop, preconnect hints.</t>
  </si>
  <si>
    <t>Theme only — 0 products</t>
  </si>
  <si>
    <t>4–8 hours</t>
  </si>
  <si>
    <t>Core ranking signals + schema independence from apps</t>
  </si>
  <si>
    <t>P2</t>
  </si>
  <si>
    <t>Bulk-generate SEO titles for in-stock products</t>
  </si>
  <si>
    <t>8–12 hours scripted + spot review</t>
  </si>
  <si>
    <t>Every product page gets a keyworded title</t>
  </si>
  <si>
    <t>Bulk-generate meta descriptions for in-stock products</t>
  </si>
  <si>
    <t>6–10 hours scripted</t>
  </si>
  <si>
    <t>Higher click-through from search results</t>
  </si>
  <si>
    <t>De-duplicate product titles</t>
  </si>
  <si>
    <t>0 products / 0 shared titles</t>
  </si>
  <si>
    <t>3–5 hours</t>
  </si>
  <si>
    <t>Stops self-competition in search</t>
  </si>
  <si>
    <t>P3</t>
  </si>
  <si>
    <t>Bulk-tag in-stock products</t>
  </si>
  <si>
    <t>1–2 weeks scripted + review</t>
  </si>
  <si>
    <t>Filtering + AI taxonomy + collection automation</t>
  </si>
  <si>
    <t>Generate product descriptions (missing + thin)</t>
  </si>
  <si>
    <t>108 missing + 14 thin</t>
  </si>
  <si>
    <t>2–3 weeks scripted + review</t>
  </si>
  <si>
    <t>Products become indexable and AI-recommendable</t>
  </si>
  <si>
    <t>Alt-text generation for in-stock images</t>
  </si>
  <si>
    <t>925 images</t>
  </si>
  <si>
    <t>4–6 hours scripted</t>
  </si>
  <si>
    <t>Image search visibility + accessibility</t>
  </si>
  <si>
    <t>Write descriptions + SEO titles for navigable collections</t>
  </si>
  <si>
    <t>25 collections</t>
  </si>
  <si>
    <t>15–25 hours</t>
  </si>
  <si>
    <t>Category pages start ranking and feeding AI answers</t>
  </si>
  <si>
    <t>P4</t>
  </si>
  <si>
    <t>Publish or prune draft pages; expand thin pages</t>
  </si>
  <si>
    <t>2 drafts</t>
  </si>
  <si>
    <t>Recovers existing content investment</t>
  </si>
  <si>
    <t>Revive blog: 1–2 posts/month around shopping queries</t>
  </si>
  <si>
    <t>Ongoing</t>
  </si>
  <si>
    <t>2–4 hours/post</t>
  </si>
  <si>
    <t>Fresh citable content for AI + long-tail search</t>
  </si>
  <si>
    <t>Verify hours/GBP and unify business schema</t>
  </si>
  <si>
    <t>Entity layer</t>
  </si>
  <si>
    <t>2–3 hours</t>
  </si>
  <si>
    <t>Accurate AI answers about the store</t>
  </si>
  <si>
    <t>Essential Crystal Necklaces | Rachel Marie Designs</t>
  </si>
  <si>
    <t>Essential Crystal Earrings | Rachel Marie Designs</t>
  </si>
  <si>
    <t>Essential Crystal Bracelets | Rachel Marie Designs</t>
  </si>
  <si>
    <t>Crystal Tennis Bracelets | Rachel Marie Designs</t>
  </si>
  <si>
    <t>Crystal Stretch Bracelets | Rachel Marie Designs</t>
  </si>
  <si>
    <t>Statement Crystal Earrings | Rachel Marie Designs</t>
  </si>
  <si>
    <t>Short Crystal Necklaces | Rachel Marie Designs</t>
  </si>
  <si>
    <t>Crystal Jewelry Sale | Rachel Marie Designs</t>
  </si>
  <si>
    <t>Handmade Crystal Rings | Rachel Marie Designs</t>
  </si>
  <si>
    <t>Crystal Post Earrings | Rachel Marie Designs</t>
  </si>
  <si>
    <t>Crystal Pendant Necklaces | Rachel Marie Designs</t>
  </si>
  <si>
    <t>New Crystal Jewelry Arrivals | Rachel Marie Designs</t>
  </si>
  <si>
    <t>Handmade Crystal Necklaces | Rachel Marie Designs</t>
  </si>
  <si>
    <t>Crystal Tennis Necklaces | Rachel Marie Designs</t>
  </si>
  <si>
    <t>Unique Crystal Jewelry Finds | Rachel Marie Designs</t>
  </si>
  <si>
    <t>Long Crystal Necklaces | Rachel Marie Designs</t>
  </si>
  <si>
    <t>Handmade Swarovski Crystal Jewelry | Rachel Marie Designs</t>
  </si>
  <si>
    <t>Jewelry Gifts Under $50 | Rachel Marie Designs</t>
  </si>
  <si>
    <t>Essential Crystal Jewelry | Rachel Marie Designs</t>
  </si>
  <si>
    <t>Handmade Crystal Earrings | Rachel Marie Designs</t>
  </si>
  <si>
    <t>Crystal Dangle Earrings | Rachel Marie Designs</t>
  </si>
  <si>
    <t>Crystal Cuff Bracelets | Rachel Marie Designs</t>
  </si>
  <si>
    <t>Handmade Crystal Bracelets | Rachel Marie Designs</t>
  </si>
  <si>
    <t>Shop All Handmade Crystal Jewelry | Rachel Marie Designs</t>
  </si>
  <si>
    <t>Crystal Jewelry Accessories | Rachel Marie Designs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</si>
</sst>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20"/>
      <color rgb="FFFFFFFF"/>
      <name val="Arial"/>
    </font>
    <font>
      <sz val="8"/>
      <color rgb="FFFFFFFF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9C0006"/>
      <name val="Arial"/>
    </font>
    <font>
      <sz val="11"/>
      <color rgb="FF9C6500"/>
      <name val="Arial"/>
    </font>
    <font>
      <sz val="11"/>
      <color rgb="FF276221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808080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0" fontId="9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8" fillId="0" borderId="1" xfId="0" applyFont="1" applyBorder="1" applyAlignment="1">
      <alignment vertical="top" wrapText="1"/>
    </xf>
    <xf numFmtId="0" fontId="8" fillId="8" borderId="1" xfId="0" applyFont="1" applyFill="1" applyBorder="1"/>
    <xf numFmtId="0" fontId="12" fillId="0" borderId="1" xfId="0" applyFont="1" applyBorder="1" applyAlignment="1">
      <alignment vertical="top" wrapText="1"/>
    </xf>
    <xf numFmtId="0" fontId="4" fillId="6" borderId="0" xfId="0" applyFont="1" applyFill="1" applyAlignment="1">
      <alignment horizontal="center" vertical="center"/>
    </xf>
    <xf numFmtId="0" fontId="0" fillId="0" borderId="0" xfId="0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5" fillId="4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 wrapText="1"/>
    </xf>
    <xf numFmtId="0" fontId="6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vertical="center" indent="1"/>
    </xf>
    <xf numFmtId="164" fontId="4" fillId="4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In-stock products affected by each SEO gap</a:t>
            </a:r>
          </a:p>
        </c:rich>
      </c:tx>
      <c:layout>
        <c:manualLayout>
          <c:xMode val="edge"/>
          <c:yMode val="edge"/>
          <c:x val="0.3529580464745572"/>
          <c:y val="1.1759259259259259E-2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C0000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Summary'!$A$10:$A$17</c:f>
              <c:strCache>
                <c:ptCount val="8"/>
                <c:pt idx="0">
                  <c:v>Missing SEO title tag</c:v>
                </c:pt>
                <c:pt idx="1">
                  <c:v>Missing tags</c:v>
                </c:pt>
                <c:pt idx="2">
                  <c:v>Missing meta description</c:v>
                </c:pt>
                <c:pt idx="3">
                  <c:v>Missing ALL product images</c:v>
                </c:pt>
                <c:pt idx="4">
                  <c:v>Missing description (body)</c:v>
                </c:pt>
                <c:pt idx="5">
                  <c:v>Duplicate titles</c:v>
                </c:pt>
                <c:pt idx="6">
                  <c:v>Short description (&lt;100 chars)</c:v>
                </c:pt>
                <c:pt idx="7">
                  <c:v>No alt text on any image</c:v>
                </c:pt>
              </c:strCache>
            </c:strRef>
          </c:cat>
          <c:val>
            <c:numRef>
              <c:f>'Executive Summary'!$B$10:$B$17</c:f>
              <c:numCache>
                <c:formatCode>#,##0</c:formatCode>
                <c:ptCount val="8"/>
                <c:pt idx="0">
                  <c:v>268</c:v>
                </c:pt>
                <c:pt idx="1">
                  <c:v>87</c:v>
                </c:pt>
                <c:pt idx="2">
                  <c:v>268</c:v>
                </c:pt>
                <c:pt idx="3">
                  <c:v>23</c:v>
                </c:pt>
                <c:pt idx="4">
                  <c:v>108</c:v>
                </c:pt>
                <c:pt idx="5">
                  <c:v>0</c:v>
                </c:pt>
                <c:pt idx="6">
                  <c:v>14</c:v>
                </c:pt>
                <c:pt idx="7">
                  <c:v>245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0BC-4FDE-A818-625DFC8AED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Collection description coverage (39 collections)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41-485B-A1AA-EB45756D882D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41-485B-A1AA-EB45756D882D}"/>
              </c:ext>
            </c:extLst>
          </c:dPt>
          <c:dPt>
            <c:idx val="2"/>
            <c:bubble3D val="0"/>
            <c:spPr>
              <a:solidFill>
                <a:srgbClr val="54823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41-485B-A1AA-EB45756D882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Summary'!$A$29:$A$31</c:f>
              <c:strCache>
                <c:ptCount val="3"/>
                <c:pt idx="0">
                  <c:v>No description</c:v>
                </c:pt>
                <c:pt idx="1">
                  <c:v>Short (&lt;100 chars)</c:v>
                </c:pt>
                <c:pt idx="2">
                  <c:v>Good (100+ chars)</c:v>
                </c:pt>
              </c:strCache>
            </c:strRef>
          </c:cat>
          <c:val>
            <c:numRef>
              <c:f>'Executive Summary'!$B$29:$B$31</c:f>
              <c:numCache>
                <c:formatCode>#,##0</c:formatCode>
                <c:ptCount val="3"/>
                <c:pt idx="0">
                  <c:v>31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41-485B-A1AA-EB45756D88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Blog posts per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808080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Summary'!$A$57:$A$61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'Executive Summary'!$B$57:$B$61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7F-4B12-90F1-673868BD3CA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72771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432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54</xdr:row>
      <xdr:rowOff>0</xdr:rowOff>
    </xdr:from>
    <xdr:ext cx="4320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M61"/>
  <sheetViews>
    <sheetView showGridLines="0" tabSelected="1" workbookViewId="0">
      <selection activeCell="R59" sqref="R59"/>
    </sheetView>
  </sheetViews>
  <sheetFormatPr defaultRowHeight="15" x14ac:dyDescent="0.25"/>
  <cols>
    <col min="1" max="1" width="42" customWidth="1"/>
    <col min="2" max="5" width="12" customWidth="1"/>
    <col min="6" max="13" width="11" customWidth="1"/>
  </cols>
  <sheetData>
    <row r="1" spans="1:13" ht="30" customHeight="1" x14ac:dyDescent="0.25">
      <c r="A1" s="2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8" customHeight="1" x14ac:dyDescent="0.25">
      <c r="A2" s="26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26.1" customHeight="1" x14ac:dyDescent="0.25">
      <c r="A4" s="24" t="s">
        <v>2</v>
      </c>
      <c r="B4" s="12"/>
      <c r="D4" s="24" t="s">
        <v>3</v>
      </c>
      <c r="E4" s="12"/>
      <c r="G4" s="25" t="s">
        <v>4</v>
      </c>
      <c r="H4" s="12"/>
      <c r="J4" s="20" t="s">
        <v>5</v>
      </c>
      <c r="K4" s="12"/>
    </row>
    <row r="5" spans="1:13" ht="30" customHeight="1" x14ac:dyDescent="0.25">
      <c r="A5" s="22">
        <v>1</v>
      </c>
      <c r="B5" s="12"/>
      <c r="D5" s="22">
        <v>0.32462686567164178</v>
      </c>
      <c r="E5" s="12"/>
      <c r="G5" s="23">
        <v>0.79487179487179482</v>
      </c>
      <c r="H5" s="12"/>
      <c r="J5" s="11" t="s">
        <v>6</v>
      </c>
      <c r="K5" s="12"/>
    </row>
    <row r="6" spans="1:13" x14ac:dyDescent="0.25">
      <c r="A6" s="16" t="s">
        <v>7</v>
      </c>
      <c r="B6" s="12"/>
      <c r="D6" s="16" t="s">
        <v>8</v>
      </c>
      <c r="E6" s="12"/>
      <c r="G6" s="18" t="s">
        <v>9</v>
      </c>
      <c r="H6" s="12"/>
      <c r="J6" s="17" t="s">
        <v>10</v>
      </c>
      <c r="K6" s="12"/>
    </row>
    <row r="8" spans="1:13" ht="20.100000000000001" customHeight="1" x14ac:dyDescent="0.25">
      <c r="A8" s="19" t="s">
        <v>11</v>
      </c>
      <c r="B8" s="12"/>
      <c r="C8" s="12"/>
      <c r="D8" s="12"/>
      <c r="E8" s="12"/>
    </row>
    <row r="9" spans="1:13" ht="25.5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</row>
    <row r="10" spans="1:13" x14ac:dyDescent="0.25">
      <c r="A10" s="2" t="s">
        <v>17</v>
      </c>
      <c r="B10" s="3">
        <v>268</v>
      </c>
      <c r="C10" s="4">
        <f t="shared" ref="C10:C17" si="0">B10/268</f>
        <v>1</v>
      </c>
      <c r="D10" s="3">
        <v>473</v>
      </c>
      <c r="E10" s="5" t="s">
        <v>18</v>
      </c>
    </row>
    <row r="11" spans="1:13" x14ac:dyDescent="0.25">
      <c r="A11" s="2" t="s">
        <v>19</v>
      </c>
      <c r="B11" s="3">
        <v>87</v>
      </c>
      <c r="C11" s="4">
        <f t="shared" si="0"/>
        <v>0.32462686567164178</v>
      </c>
      <c r="D11" s="3">
        <v>89</v>
      </c>
      <c r="E11" s="5" t="s">
        <v>18</v>
      </c>
    </row>
    <row r="12" spans="1:13" x14ac:dyDescent="0.25">
      <c r="A12" s="2" t="s">
        <v>20</v>
      </c>
      <c r="B12" s="3">
        <v>268</v>
      </c>
      <c r="C12" s="4">
        <f t="shared" si="0"/>
        <v>1</v>
      </c>
      <c r="D12" s="3">
        <v>474</v>
      </c>
      <c r="E12" s="5" t="s">
        <v>18</v>
      </c>
    </row>
    <row r="13" spans="1:13" x14ac:dyDescent="0.25">
      <c r="A13" s="2" t="s">
        <v>21</v>
      </c>
      <c r="B13" s="3">
        <v>23</v>
      </c>
      <c r="C13" s="4">
        <f t="shared" si="0"/>
        <v>8.5820895522388058E-2</v>
      </c>
      <c r="D13" s="3">
        <v>36</v>
      </c>
      <c r="E13" s="5" t="s">
        <v>18</v>
      </c>
    </row>
    <row r="14" spans="1:13" x14ac:dyDescent="0.25">
      <c r="A14" s="2" t="s">
        <v>22</v>
      </c>
      <c r="B14" s="3">
        <v>108</v>
      </c>
      <c r="C14" s="4">
        <f t="shared" si="0"/>
        <v>0.40298507462686567</v>
      </c>
      <c r="D14" s="3">
        <v>174</v>
      </c>
      <c r="E14" s="5" t="s">
        <v>18</v>
      </c>
    </row>
    <row r="15" spans="1:13" x14ac:dyDescent="0.25">
      <c r="A15" s="2" t="s">
        <v>23</v>
      </c>
      <c r="B15" s="3">
        <v>0</v>
      </c>
      <c r="C15" s="4">
        <f t="shared" si="0"/>
        <v>0</v>
      </c>
      <c r="D15" s="3">
        <v>2</v>
      </c>
      <c r="E15" s="6" t="s">
        <v>24</v>
      </c>
    </row>
    <row r="16" spans="1:13" x14ac:dyDescent="0.25">
      <c r="A16" s="2" t="s">
        <v>25</v>
      </c>
      <c r="B16" s="3">
        <v>14</v>
      </c>
      <c r="C16" s="4">
        <f t="shared" si="0"/>
        <v>5.2238805970149252E-2</v>
      </c>
      <c r="D16" s="3">
        <v>24</v>
      </c>
      <c r="E16" s="6" t="s">
        <v>24</v>
      </c>
    </row>
    <row r="17" spans="1:5" x14ac:dyDescent="0.25">
      <c r="A17" s="2" t="s">
        <v>26</v>
      </c>
      <c r="B17" s="3">
        <v>245</v>
      </c>
      <c r="C17" s="4">
        <f t="shared" si="0"/>
        <v>0.91417910447761197</v>
      </c>
      <c r="D17" s="3">
        <v>436</v>
      </c>
      <c r="E17" s="6" t="s">
        <v>24</v>
      </c>
    </row>
    <row r="27" spans="1:5" ht="20.100000000000001" customHeight="1" x14ac:dyDescent="0.25">
      <c r="A27" s="19" t="s">
        <v>27</v>
      </c>
      <c r="B27" s="12"/>
      <c r="C27" s="12"/>
      <c r="D27" s="12"/>
      <c r="E27" s="12"/>
    </row>
    <row r="28" spans="1:5" x14ac:dyDescent="0.25">
      <c r="A28" s="1" t="s">
        <v>28</v>
      </c>
      <c r="B28" s="1" t="s">
        <v>29</v>
      </c>
      <c r="C28" s="1" t="s">
        <v>30</v>
      </c>
    </row>
    <row r="29" spans="1:5" x14ac:dyDescent="0.25">
      <c r="A29" s="2" t="s">
        <v>31</v>
      </c>
      <c r="B29" s="3">
        <v>31</v>
      </c>
      <c r="C29" s="4">
        <f>B29/39</f>
        <v>0.79487179487179482</v>
      </c>
    </row>
    <row r="30" spans="1:5" x14ac:dyDescent="0.25">
      <c r="A30" s="2" t="s">
        <v>32</v>
      </c>
      <c r="B30" s="3">
        <v>5</v>
      </c>
      <c r="C30" s="4">
        <f>B30/39</f>
        <v>0.12820512820512819</v>
      </c>
    </row>
    <row r="31" spans="1:5" x14ac:dyDescent="0.25">
      <c r="A31" s="2" t="s">
        <v>33</v>
      </c>
      <c r="B31" s="3">
        <v>3</v>
      </c>
      <c r="C31" s="4">
        <f>B31/39</f>
        <v>7.6923076923076927E-2</v>
      </c>
    </row>
    <row r="32" spans="1:5" x14ac:dyDescent="0.25">
      <c r="A32" s="2" t="s">
        <v>34</v>
      </c>
      <c r="B32" s="3">
        <v>39</v>
      </c>
      <c r="C32" s="2"/>
    </row>
    <row r="33" spans="1:5" x14ac:dyDescent="0.25">
      <c r="A33" s="2" t="s">
        <v>35</v>
      </c>
      <c r="B33" s="3">
        <v>25</v>
      </c>
      <c r="C33" s="2"/>
    </row>
    <row r="34" spans="1:5" x14ac:dyDescent="0.25">
      <c r="A34" s="2" t="s">
        <v>36</v>
      </c>
      <c r="B34" s="3">
        <v>25</v>
      </c>
      <c r="C34" s="2"/>
    </row>
    <row r="35" spans="1:5" x14ac:dyDescent="0.25">
      <c r="A35" s="2" t="s">
        <v>37</v>
      </c>
      <c r="B35" s="3">
        <v>38</v>
      </c>
      <c r="C35" s="2"/>
    </row>
    <row r="36" spans="1:5" x14ac:dyDescent="0.25">
      <c r="A36" s="2" t="s">
        <v>38</v>
      </c>
      <c r="B36" s="3">
        <v>3</v>
      </c>
      <c r="C36" s="2"/>
    </row>
    <row r="44" spans="1:5" ht="20.100000000000001" customHeight="1" x14ac:dyDescent="0.25">
      <c r="A44" s="19" t="s">
        <v>39</v>
      </c>
      <c r="B44" s="12"/>
      <c r="C44" s="12"/>
      <c r="D44" s="12"/>
      <c r="E44" s="12"/>
    </row>
    <row r="45" spans="1:5" x14ac:dyDescent="0.25">
      <c r="A45" s="1" t="s">
        <v>40</v>
      </c>
      <c r="B45" s="1" t="s">
        <v>41</v>
      </c>
      <c r="C45" s="1"/>
      <c r="D45" s="1"/>
      <c r="E45" s="1" t="s">
        <v>16</v>
      </c>
    </row>
    <row r="46" spans="1:5" x14ac:dyDescent="0.25">
      <c r="A46" s="2" t="s">
        <v>42</v>
      </c>
      <c r="B46" s="13" t="s">
        <v>43</v>
      </c>
      <c r="C46" s="14"/>
      <c r="D46" s="15"/>
      <c r="E46" s="5" t="s">
        <v>18</v>
      </c>
    </row>
    <row r="47" spans="1:5" x14ac:dyDescent="0.25">
      <c r="A47" s="2" t="s">
        <v>44</v>
      </c>
      <c r="B47" s="13" t="s">
        <v>45</v>
      </c>
      <c r="C47" s="14"/>
      <c r="D47" s="15"/>
      <c r="E47" s="7" t="s">
        <v>46</v>
      </c>
    </row>
    <row r="48" spans="1:5" x14ac:dyDescent="0.25">
      <c r="A48" s="2" t="s">
        <v>47</v>
      </c>
      <c r="B48" s="13" t="s">
        <v>48</v>
      </c>
      <c r="C48" s="14"/>
      <c r="D48" s="15"/>
      <c r="E48" s="5" t="s">
        <v>18</v>
      </c>
    </row>
    <row r="49" spans="1:5" x14ac:dyDescent="0.25">
      <c r="A49" s="2" t="s">
        <v>49</v>
      </c>
      <c r="B49" s="13" t="s">
        <v>45</v>
      </c>
      <c r="C49" s="14"/>
      <c r="D49" s="15"/>
      <c r="E49" s="7" t="s">
        <v>46</v>
      </c>
    </row>
    <row r="50" spans="1:5" x14ac:dyDescent="0.25">
      <c r="A50" s="2" t="s">
        <v>50</v>
      </c>
      <c r="B50" s="13" t="s">
        <v>51</v>
      </c>
      <c r="C50" s="14"/>
      <c r="D50" s="15"/>
      <c r="E50" s="7" t="s">
        <v>46</v>
      </c>
    </row>
    <row r="51" spans="1:5" x14ac:dyDescent="0.25">
      <c r="A51" s="2" t="s">
        <v>52</v>
      </c>
      <c r="B51" s="13" t="s">
        <v>53</v>
      </c>
      <c r="C51" s="14"/>
      <c r="D51" s="15"/>
      <c r="E51" s="7" t="s">
        <v>46</v>
      </c>
    </row>
    <row r="52" spans="1:5" x14ac:dyDescent="0.25">
      <c r="A52" s="2" t="s">
        <v>54</v>
      </c>
      <c r="B52" s="13" t="s">
        <v>55</v>
      </c>
      <c r="C52" s="14"/>
      <c r="D52" s="15"/>
      <c r="E52" s="7" t="s">
        <v>46</v>
      </c>
    </row>
    <row r="53" spans="1:5" x14ac:dyDescent="0.25">
      <c r="A53" s="2" t="s">
        <v>56</v>
      </c>
      <c r="B53" s="13" t="s">
        <v>57</v>
      </c>
      <c r="C53" s="14"/>
      <c r="D53" s="15"/>
      <c r="E53" s="6" t="s">
        <v>58</v>
      </c>
    </row>
    <row r="55" spans="1:5" ht="20.100000000000001" customHeight="1" x14ac:dyDescent="0.25">
      <c r="A55" s="19" t="s">
        <v>59</v>
      </c>
      <c r="B55" s="12"/>
      <c r="C55" s="12"/>
      <c r="D55" s="12"/>
      <c r="E55" s="12"/>
    </row>
    <row r="56" spans="1:5" ht="25.5" x14ac:dyDescent="0.25">
      <c r="A56" s="1" t="s">
        <v>60</v>
      </c>
      <c r="B56" s="1" t="s">
        <v>61</v>
      </c>
    </row>
    <row r="57" spans="1:5" x14ac:dyDescent="0.25">
      <c r="A57" s="2" t="s">
        <v>62</v>
      </c>
      <c r="B57" s="3">
        <v>0</v>
      </c>
    </row>
    <row r="58" spans="1:5" x14ac:dyDescent="0.25">
      <c r="A58" s="2" t="s">
        <v>63</v>
      </c>
      <c r="B58" s="3">
        <v>0</v>
      </c>
    </row>
    <row r="59" spans="1:5" x14ac:dyDescent="0.25">
      <c r="A59" s="2" t="s">
        <v>64</v>
      </c>
      <c r="B59" s="3">
        <v>0</v>
      </c>
    </row>
    <row r="60" spans="1:5" x14ac:dyDescent="0.25">
      <c r="A60" s="2" t="s">
        <v>65</v>
      </c>
      <c r="B60" s="3">
        <v>5</v>
      </c>
    </row>
    <row r="61" spans="1:5" x14ac:dyDescent="0.25">
      <c r="A61" s="2" t="s">
        <v>66</v>
      </c>
      <c r="B61" s="3">
        <v>0</v>
      </c>
    </row>
  </sheetData>
  <mergeCells count="26">
    <mergeCell ref="A55:E55"/>
    <mergeCell ref="J4:K4"/>
    <mergeCell ref="A1:M1"/>
    <mergeCell ref="B50:D50"/>
    <mergeCell ref="A5:B5"/>
    <mergeCell ref="G5:H5"/>
    <mergeCell ref="D4:E4"/>
    <mergeCell ref="A8:E8"/>
    <mergeCell ref="B47:D47"/>
    <mergeCell ref="A4:B4"/>
    <mergeCell ref="G4:H4"/>
    <mergeCell ref="B46:D46"/>
    <mergeCell ref="D5:E5"/>
    <mergeCell ref="B52:D52"/>
    <mergeCell ref="A44:E44"/>
    <mergeCell ref="A2:M2"/>
    <mergeCell ref="J5:K5"/>
    <mergeCell ref="B53:D53"/>
    <mergeCell ref="A6:B6"/>
    <mergeCell ref="D6:E6"/>
    <mergeCell ref="J6:K6"/>
    <mergeCell ref="B49:D49"/>
    <mergeCell ref="G6:H6"/>
    <mergeCell ref="A27:E27"/>
    <mergeCell ref="B51:D51"/>
    <mergeCell ref="B48:D4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10" customWidth="1"/>
    <col min="3" max="3" width="11" customWidth="1"/>
    <col min="4" max="4" width="12" customWidth="1"/>
    <col min="5" max="5" width="10" customWidth="1"/>
    <col min="6" max="6" width="12" customWidth="1"/>
    <col min="7" max="7" width="44" customWidth="1"/>
    <col min="8" max="8" width="38" customWidth="1"/>
  </cols>
  <sheetData>
    <row r="1" spans="1:8" ht="30" customHeight="1" x14ac:dyDescent="0.25">
      <c r="A1" s="21" t="s">
        <v>67</v>
      </c>
      <c r="B1" s="12"/>
      <c r="C1" s="12"/>
      <c r="D1" s="12"/>
      <c r="E1" s="12"/>
      <c r="F1" s="12"/>
      <c r="G1" s="12"/>
      <c r="H1" s="12"/>
    </row>
    <row r="2" spans="1:8" ht="18" customHeight="1" x14ac:dyDescent="0.25">
      <c r="A2" s="26" t="s">
        <v>68</v>
      </c>
      <c r="B2" s="12"/>
      <c r="C2" s="12"/>
      <c r="D2" s="12"/>
      <c r="E2" s="12"/>
      <c r="F2" s="12"/>
      <c r="G2" s="12"/>
      <c r="H2" s="12"/>
    </row>
    <row r="4" spans="1:8" x14ac:dyDescent="0.25">
      <c r="A4" s="1" t="s">
        <v>69</v>
      </c>
      <c r="B4" s="1" t="s">
        <v>13</v>
      </c>
      <c r="C4" s="1" t="s">
        <v>70</v>
      </c>
      <c r="D4" s="1" t="s">
        <v>71</v>
      </c>
      <c r="E4" s="1" t="s">
        <v>72</v>
      </c>
      <c r="F4" s="1" t="s">
        <v>16</v>
      </c>
      <c r="G4" s="1" t="s">
        <v>73</v>
      </c>
      <c r="H4" s="1" t="s">
        <v>74</v>
      </c>
    </row>
    <row r="5" spans="1:8" ht="25.5" x14ac:dyDescent="0.25">
      <c r="A5" s="2" t="s">
        <v>17</v>
      </c>
      <c r="B5" s="3">
        <v>268</v>
      </c>
      <c r="C5" s="4">
        <f t="shared" ref="C5:C14" si="0">B5/268</f>
        <v>1</v>
      </c>
      <c r="D5" s="3">
        <v>473</v>
      </c>
      <c r="E5" s="4">
        <f t="shared" ref="E5:E14" si="1">D5/474</f>
        <v>0.99789029535864981</v>
      </c>
      <c r="F5" s="5" t="s">
        <v>18</v>
      </c>
      <c r="G5" s="8" t="s">
        <v>75</v>
      </c>
      <c r="H5" s="8" t="s">
        <v>76</v>
      </c>
    </row>
    <row r="6" spans="1:8" ht="25.5" x14ac:dyDescent="0.25">
      <c r="A6" s="2" t="s">
        <v>19</v>
      </c>
      <c r="B6" s="3">
        <v>87</v>
      </c>
      <c r="C6" s="4">
        <f t="shared" si="0"/>
        <v>0.32462686567164178</v>
      </c>
      <c r="D6" s="3">
        <v>89</v>
      </c>
      <c r="E6" s="4">
        <f t="shared" si="1"/>
        <v>0.18776371308016879</v>
      </c>
      <c r="F6" s="5" t="s">
        <v>18</v>
      </c>
      <c r="G6" s="8" t="s">
        <v>77</v>
      </c>
      <c r="H6" s="8" t="s">
        <v>78</v>
      </c>
    </row>
    <row r="7" spans="1:8" x14ac:dyDescent="0.25">
      <c r="A7" s="2" t="s">
        <v>20</v>
      </c>
      <c r="B7" s="3">
        <v>268</v>
      </c>
      <c r="C7" s="4">
        <f t="shared" si="0"/>
        <v>1</v>
      </c>
      <c r="D7" s="3">
        <v>474</v>
      </c>
      <c r="E7" s="4">
        <f t="shared" si="1"/>
        <v>1</v>
      </c>
      <c r="F7" s="5" t="s">
        <v>18</v>
      </c>
      <c r="G7" s="8" t="s">
        <v>79</v>
      </c>
      <c r="H7" s="8" t="s">
        <v>80</v>
      </c>
    </row>
    <row r="8" spans="1:8" x14ac:dyDescent="0.25">
      <c r="A8" s="2" t="s">
        <v>81</v>
      </c>
      <c r="B8" s="3">
        <v>23</v>
      </c>
      <c r="C8" s="4">
        <f t="shared" si="0"/>
        <v>8.5820895522388058E-2</v>
      </c>
      <c r="D8" s="3">
        <v>36</v>
      </c>
      <c r="E8" s="4">
        <f t="shared" si="1"/>
        <v>7.5949367088607597E-2</v>
      </c>
      <c r="F8" s="5" t="s">
        <v>18</v>
      </c>
      <c r="G8" s="8" t="s">
        <v>82</v>
      </c>
      <c r="H8" s="8" t="s">
        <v>83</v>
      </c>
    </row>
    <row r="9" spans="1:8" x14ac:dyDescent="0.25">
      <c r="A9" s="2" t="s">
        <v>22</v>
      </c>
      <c r="B9" s="3">
        <v>108</v>
      </c>
      <c r="C9" s="4">
        <f t="shared" si="0"/>
        <v>0.40298507462686567</v>
      </c>
      <c r="D9" s="3">
        <v>174</v>
      </c>
      <c r="E9" s="4">
        <f t="shared" si="1"/>
        <v>0.36708860759493672</v>
      </c>
      <c r="F9" s="5" t="s">
        <v>18</v>
      </c>
      <c r="G9" s="8" t="s">
        <v>84</v>
      </c>
      <c r="H9" s="8" t="s">
        <v>85</v>
      </c>
    </row>
    <row r="10" spans="1:8" x14ac:dyDescent="0.25">
      <c r="A10" s="2" t="s">
        <v>25</v>
      </c>
      <c r="B10" s="3">
        <v>14</v>
      </c>
      <c r="C10" s="4">
        <f t="shared" si="0"/>
        <v>5.2238805970149252E-2</v>
      </c>
      <c r="D10" s="3">
        <v>24</v>
      </c>
      <c r="E10" s="4">
        <f t="shared" si="1"/>
        <v>5.0632911392405063E-2</v>
      </c>
      <c r="F10" s="6" t="s">
        <v>24</v>
      </c>
      <c r="G10" s="8" t="s">
        <v>86</v>
      </c>
      <c r="H10" s="8" t="s">
        <v>87</v>
      </c>
    </row>
    <row r="11" spans="1:8" x14ac:dyDescent="0.25">
      <c r="A11" s="2" t="s">
        <v>88</v>
      </c>
      <c r="B11" s="3">
        <v>925</v>
      </c>
      <c r="C11" s="4">
        <f t="shared" si="0"/>
        <v>3.4514925373134329</v>
      </c>
      <c r="D11" s="3">
        <v>1406</v>
      </c>
      <c r="E11" s="4">
        <f t="shared" si="1"/>
        <v>2.9662447257383966</v>
      </c>
      <c r="F11" s="6" t="s">
        <v>24</v>
      </c>
      <c r="G11" s="8" t="s">
        <v>89</v>
      </c>
      <c r="H11" s="8" t="s">
        <v>90</v>
      </c>
    </row>
    <row r="12" spans="1:8" x14ac:dyDescent="0.25">
      <c r="A12" s="2" t="s">
        <v>91</v>
      </c>
      <c r="B12" s="3">
        <v>245</v>
      </c>
      <c r="C12" s="4">
        <f t="shared" si="0"/>
        <v>0.91417910447761197</v>
      </c>
      <c r="D12" s="3">
        <v>436</v>
      </c>
      <c r="E12" s="4">
        <f t="shared" si="1"/>
        <v>0.91983122362869196</v>
      </c>
      <c r="F12" s="6" t="s">
        <v>24</v>
      </c>
      <c r="G12" s="8" t="s">
        <v>92</v>
      </c>
      <c r="H12" s="8" t="s">
        <v>93</v>
      </c>
    </row>
    <row r="13" spans="1:8" x14ac:dyDescent="0.25">
      <c r="A13" s="2" t="s">
        <v>94</v>
      </c>
      <c r="B13" s="3">
        <v>0</v>
      </c>
      <c r="C13" s="4">
        <f t="shared" si="0"/>
        <v>0</v>
      </c>
      <c r="D13" s="3">
        <v>2</v>
      </c>
      <c r="E13" s="4">
        <f t="shared" si="1"/>
        <v>4.2194092827004216E-3</v>
      </c>
      <c r="F13" s="6" t="s">
        <v>24</v>
      </c>
      <c r="G13" s="8" t="s">
        <v>95</v>
      </c>
      <c r="H13" s="8" t="s">
        <v>96</v>
      </c>
    </row>
    <row r="14" spans="1:8" x14ac:dyDescent="0.25">
      <c r="A14" s="2" t="s">
        <v>97</v>
      </c>
      <c r="B14" s="3">
        <v>116</v>
      </c>
      <c r="C14" s="4">
        <f t="shared" si="0"/>
        <v>0.43283582089552236</v>
      </c>
      <c r="D14" s="3">
        <v>201</v>
      </c>
      <c r="E14" s="4">
        <f t="shared" si="1"/>
        <v>0.42405063291139239</v>
      </c>
      <c r="F14" s="7" t="s">
        <v>46</v>
      </c>
      <c r="G14" s="8" t="s">
        <v>98</v>
      </c>
      <c r="H14" s="8" t="s">
        <v>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38" customWidth="1"/>
    <col min="3" max="3" width="30" customWidth="1"/>
    <col min="4" max="4" width="10" customWidth="1"/>
    <col min="5" max="5" width="12" customWidth="1"/>
    <col min="6" max="6" width="11" customWidth="1"/>
    <col min="7" max="7" width="14" customWidth="1"/>
    <col min="8" max="8" width="52" customWidth="1"/>
    <col min="9" max="9" width="11" customWidth="1"/>
  </cols>
  <sheetData>
    <row r="1" spans="1:9" ht="30" customHeight="1" x14ac:dyDescent="0.25">
      <c r="A1" s="21" t="s">
        <v>100</v>
      </c>
      <c r="B1" s="12"/>
      <c r="C1" s="12"/>
      <c r="D1" s="12"/>
      <c r="E1" s="12"/>
      <c r="F1" s="12"/>
      <c r="G1" s="12"/>
      <c r="H1" s="12"/>
      <c r="I1" s="12"/>
    </row>
    <row r="2" spans="1:9" ht="18" customHeight="1" x14ac:dyDescent="0.25">
      <c r="A2" s="26" t="s">
        <v>101</v>
      </c>
      <c r="B2" s="12"/>
      <c r="C2" s="12"/>
      <c r="D2" s="12"/>
      <c r="E2" s="12"/>
      <c r="F2" s="12"/>
      <c r="G2" s="12"/>
      <c r="H2" s="12"/>
      <c r="I2" s="12"/>
    </row>
    <row r="4" spans="1:9" ht="25.5" x14ac:dyDescent="0.25">
      <c r="A4" s="1" t="s">
        <v>102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107</v>
      </c>
      <c r="G4" s="1" t="s">
        <v>108</v>
      </c>
      <c r="H4" s="1" t="s">
        <v>109</v>
      </c>
      <c r="I4" s="1" t="s">
        <v>110</v>
      </c>
    </row>
    <row r="5" spans="1:9" x14ac:dyDescent="0.25">
      <c r="A5" s="2" t="s">
        <v>111</v>
      </c>
      <c r="B5" s="2" t="s">
        <v>112</v>
      </c>
      <c r="C5" s="2" t="s">
        <v>113</v>
      </c>
      <c r="D5" s="3">
        <v>4</v>
      </c>
      <c r="E5" s="2" t="s">
        <v>114</v>
      </c>
      <c r="F5" s="3">
        <v>0</v>
      </c>
      <c r="G5" s="2" t="s">
        <v>114</v>
      </c>
      <c r="H5" s="2" t="s">
        <v>362</v>
      </c>
      <c r="I5" s="9" t="s">
        <v>115</v>
      </c>
    </row>
    <row r="6" spans="1:9" x14ac:dyDescent="0.25">
      <c r="A6" s="2" t="s">
        <v>111</v>
      </c>
      <c r="B6" s="2" t="s">
        <v>116</v>
      </c>
      <c r="C6" s="2" t="s">
        <v>117</v>
      </c>
      <c r="D6" s="3">
        <v>0</v>
      </c>
      <c r="E6" s="2" t="s">
        <v>114</v>
      </c>
      <c r="F6" s="3">
        <v>0</v>
      </c>
      <c r="G6" s="2" t="s">
        <v>114</v>
      </c>
      <c r="H6" s="2" t="s">
        <v>361</v>
      </c>
      <c r="I6" s="9" t="s">
        <v>115</v>
      </c>
    </row>
    <row r="7" spans="1:9" x14ac:dyDescent="0.25">
      <c r="A7" s="2" t="s">
        <v>111</v>
      </c>
      <c r="B7" s="2" t="s">
        <v>118</v>
      </c>
      <c r="C7" s="2" t="s">
        <v>119</v>
      </c>
      <c r="D7" s="3">
        <v>44</v>
      </c>
      <c r="E7" s="2" t="s">
        <v>115</v>
      </c>
      <c r="F7" s="3">
        <v>161</v>
      </c>
      <c r="G7" s="2" t="s">
        <v>114</v>
      </c>
      <c r="H7" s="2" t="s">
        <v>360</v>
      </c>
      <c r="I7" s="9" t="s">
        <v>115</v>
      </c>
    </row>
    <row r="8" spans="1:9" x14ac:dyDescent="0.25">
      <c r="A8" s="2" t="s">
        <v>111</v>
      </c>
      <c r="B8" s="2" t="s">
        <v>120</v>
      </c>
      <c r="C8" s="2" t="s">
        <v>121</v>
      </c>
      <c r="D8" s="3">
        <v>1</v>
      </c>
      <c r="E8" s="2" t="s">
        <v>114</v>
      </c>
      <c r="F8" s="3">
        <v>0</v>
      </c>
      <c r="G8" s="2" t="s">
        <v>114</v>
      </c>
      <c r="H8" s="2" t="s">
        <v>359</v>
      </c>
      <c r="I8" s="9" t="s">
        <v>115</v>
      </c>
    </row>
    <row r="9" spans="1:9" x14ac:dyDescent="0.25">
      <c r="A9" s="2" t="s">
        <v>111</v>
      </c>
      <c r="B9" s="2" t="s">
        <v>122</v>
      </c>
      <c r="C9" s="2" t="s">
        <v>123</v>
      </c>
      <c r="D9" s="3">
        <v>27</v>
      </c>
      <c r="E9" s="2" t="s">
        <v>114</v>
      </c>
      <c r="F9" s="3">
        <v>0</v>
      </c>
      <c r="G9" s="2" t="s">
        <v>114</v>
      </c>
      <c r="H9" s="2" t="s">
        <v>358</v>
      </c>
      <c r="I9" s="9" t="s">
        <v>115</v>
      </c>
    </row>
    <row r="10" spans="1:9" x14ac:dyDescent="0.25">
      <c r="A10" s="2" t="s">
        <v>111</v>
      </c>
      <c r="B10" s="2" t="s">
        <v>124</v>
      </c>
      <c r="C10" s="2" t="s">
        <v>125</v>
      </c>
      <c r="D10" s="3">
        <v>132</v>
      </c>
      <c r="E10" s="2" t="s">
        <v>114</v>
      </c>
      <c r="F10" s="3">
        <v>0</v>
      </c>
      <c r="G10" s="2" t="s">
        <v>114</v>
      </c>
      <c r="H10" s="2" t="s">
        <v>357</v>
      </c>
      <c r="I10" s="9" t="s">
        <v>115</v>
      </c>
    </row>
    <row r="11" spans="1:9" x14ac:dyDescent="0.25">
      <c r="A11" s="2" t="s">
        <v>111</v>
      </c>
      <c r="B11" s="2" t="s">
        <v>126</v>
      </c>
      <c r="C11" s="2" t="s">
        <v>127</v>
      </c>
      <c r="D11" s="3">
        <v>21</v>
      </c>
      <c r="E11" s="2" t="s">
        <v>114</v>
      </c>
      <c r="F11" s="3">
        <v>0</v>
      </c>
      <c r="G11" s="2" t="s">
        <v>114</v>
      </c>
      <c r="H11" s="2" t="s">
        <v>356</v>
      </c>
      <c r="I11" s="9" t="s">
        <v>115</v>
      </c>
    </row>
    <row r="12" spans="1:9" x14ac:dyDescent="0.25">
      <c r="A12" s="2" t="s">
        <v>111</v>
      </c>
      <c r="B12" s="2" t="s">
        <v>128</v>
      </c>
      <c r="C12" s="2" t="s">
        <v>129</v>
      </c>
      <c r="D12" s="3">
        <v>9</v>
      </c>
      <c r="E12" s="2" t="s">
        <v>114</v>
      </c>
      <c r="F12" s="3">
        <v>0</v>
      </c>
      <c r="G12" s="2" t="s">
        <v>114</v>
      </c>
      <c r="H12" s="2" t="s">
        <v>355</v>
      </c>
      <c r="I12" s="9" t="s">
        <v>115</v>
      </c>
    </row>
    <row r="13" spans="1:9" x14ac:dyDescent="0.25">
      <c r="A13" s="2" t="s">
        <v>111</v>
      </c>
      <c r="B13" s="2" t="s">
        <v>130</v>
      </c>
      <c r="C13" s="2" t="s">
        <v>131</v>
      </c>
      <c r="D13" s="3">
        <v>293</v>
      </c>
      <c r="E13" s="2" t="s">
        <v>114</v>
      </c>
      <c r="F13" s="3">
        <v>0</v>
      </c>
      <c r="G13" s="2" t="s">
        <v>114</v>
      </c>
      <c r="H13" s="2" t="s">
        <v>354</v>
      </c>
      <c r="I13" s="9" t="s">
        <v>115</v>
      </c>
    </row>
    <row r="14" spans="1:9" x14ac:dyDescent="0.25">
      <c r="A14" s="2" t="s">
        <v>111</v>
      </c>
      <c r="B14" s="2" t="s">
        <v>132</v>
      </c>
      <c r="C14" s="2" t="s">
        <v>133</v>
      </c>
      <c r="D14" s="3">
        <v>20</v>
      </c>
      <c r="E14" s="2" t="s">
        <v>134</v>
      </c>
      <c r="F14" s="3">
        <v>39</v>
      </c>
      <c r="G14" s="2" t="s">
        <v>114</v>
      </c>
      <c r="H14" s="2" t="s">
        <v>353</v>
      </c>
      <c r="I14" s="9" t="s">
        <v>115</v>
      </c>
    </row>
    <row r="15" spans="1:9" x14ac:dyDescent="0.25">
      <c r="A15" s="2" t="s">
        <v>111</v>
      </c>
      <c r="B15" s="2" t="s">
        <v>135</v>
      </c>
      <c r="C15" s="2" t="s">
        <v>136</v>
      </c>
      <c r="D15" s="3">
        <v>9</v>
      </c>
      <c r="E15" s="2" t="s">
        <v>114</v>
      </c>
      <c r="F15" s="3">
        <v>0</v>
      </c>
      <c r="G15" s="2" t="s">
        <v>114</v>
      </c>
      <c r="H15" s="2" t="s">
        <v>352</v>
      </c>
      <c r="I15" s="9" t="s">
        <v>115</v>
      </c>
    </row>
    <row r="16" spans="1:9" x14ac:dyDescent="0.25">
      <c r="A16" s="2" t="s">
        <v>111</v>
      </c>
      <c r="B16" s="2" t="s">
        <v>137</v>
      </c>
      <c r="C16" s="2" t="s">
        <v>138</v>
      </c>
      <c r="D16" s="3">
        <v>0</v>
      </c>
      <c r="E16" s="2" t="s">
        <v>114</v>
      </c>
      <c r="F16" s="3">
        <v>0</v>
      </c>
      <c r="G16" s="2" t="s">
        <v>114</v>
      </c>
      <c r="H16" s="2" t="s">
        <v>351</v>
      </c>
      <c r="I16" s="9" t="s">
        <v>115</v>
      </c>
    </row>
    <row r="17" spans="1:9" x14ac:dyDescent="0.25">
      <c r="A17" s="2" t="s">
        <v>111</v>
      </c>
      <c r="B17" s="2" t="s">
        <v>139</v>
      </c>
      <c r="C17" s="2" t="s">
        <v>140</v>
      </c>
      <c r="D17" s="3">
        <v>34</v>
      </c>
      <c r="E17" s="2" t="s">
        <v>114</v>
      </c>
      <c r="F17" s="3">
        <v>0</v>
      </c>
      <c r="G17" s="2" t="s">
        <v>114</v>
      </c>
      <c r="H17" s="2" t="s">
        <v>350</v>
      </c>
      <c r="I17" s="9" t="s">
        <v>115</v>
      </c>
    </row>
    <row r="18" spans="1:9" x14ac:dyDescent="0.25">
      <c r="A18" s="2" t="s">
        <v>111</v>
      </c>
      <c r="B18" s="2" t="s">
        <v>141</v>
      </c>
      <c r="C18" s="2" t="s">
        <v>142</v>
      </c>
      <c r="D18" s="3">
        <v>98</v>
      </c>
      <c r="E18" s="2" t="s">
        <v>134</v>
      </c>
      <c r="F18" s="3">
        <v>31</v>
      </c>
      <c r="G18" s="2" t="s">
        <v>114</v>
      </c>
      <c r="H18" s="2" t="s">
        <v>349</v>
      </c>
      <c r="I18" s="9" t="s">
        <v>115</v>
      </c>
    </row>
    <row r="19" spans="1:9" x14ac:dyDescent="0.25">
      <c r="A19" s="2" t="s">
        <v>111</v>
      </c>
      <c r="B19" s="2" t="s">
        <v>143</v>
      </c>
      <c r="C19" s="2" t="s">
        <v>144</v>
      </c>
      <c r="D19" s="3">
        <v>28</v>
      </c>
      <c r="E19" s="2" t="s">
        <v>114</v>
      </c>
      <c r="F19" s="3">
        <v>0</v>
      </c>
      <c r="G19" s="2" t="s">
        <v>114</v>
      </c>
      <c r="H19" s="2" t="s">
        <v>348</v>
      </c>
      <c r="I19" s="9" t="s">
        <v>115</v>
      </c>
    </row>
    <row r="20" spans="1:9" x14ac:dyDescent="0.25">
      <c r="A20" s="2" t="s">
        <v>111</v>
      </c>
      <c r="B20" s="2" t="s">
        <v>145</v>
      </c>
      <c r="C20" s="2" t="s">
        <v>146</v>
      </c>
      <c r="D20" s="3">
        <v>16</v>
      </c>
      <c r="E20" s="2" t="s">
        <v>114</v>
      </c>
      <c r="F20" s="3">
        <v>0</v>
      </c>
      <c r="G20" s="2" t="s">
        <v>114</v>
      </c>
      <c r="H20" s="2" t="s">
        <v>347</v>
      </c>
      <c r="I20" s="9" t="s">
        <v>115</v>
      </c>
    </row>
    <row r="21" spans="1:9" x14ac:dyDescent="0.25">
      <c r="A21" s="2" t="s">
        <v>111</v>
      </c>
      <c r="B21" s="2" t="s">
        <v>147</v>
      </c>
      <c r="C21" s="2" t="s">
        <v>148</v>
      </c>
      <c r="D21" s="3">
        <v>25</v>
      </c>
      <c r="E21" s="2" t="s">
        <v>134</v>
      </c>
      <c r="F21" s="3">
        <v>85</v>
      </c>
      <c r="G21" s="2" t="s">
        <v>114</v>
      </c>
      <c r="H21" s="2" t="s">
        <v>346</v>
      </c>
      <c r="I21" s="9" t="s">
        <v>115</v>
      </c>
    </row>
    <row r="22" spans="1:9" x14ac:dyDescent="0.25">
      <c r="A22" s="2" t="s">
        <v>111</v>
      </c>
      <c r="B22" s="2" t="s">
        <v>149</v>
      </c>
      <c r="C22" s="2" t="s">
        <v>150</v>
      </c>
      <c r="D22" s="3">
        <v>14</v>
      </c>
      <c r="E22" s="2" t="s">
        <v>114</v>
      </c>
      <c r="F22" s="3">
        <v>0</v>
      </c>
      <c r="G22" s="2" t="s">
        <v>114</v>
      </c>
      <c r="H22" s="2" t="s">
        <v>345</v>
      </c>
      <c r="I22" s="9" t="s">
        <v>115</v>
      </c>
    </row>
    <row r="23" spans="1:9" x14ac:dyDescent="0.25">
      <c r="A23" s="2" t="s">
        <v>111</v>
      </c>
      <c r="B23" s="2" t="s">
        <v>151</v>
      </c>
      <c r="C23" s="2" t="s">
        <v>152</v>
      </c>
      <c r="D23" s="3">
        <v>96</v>
      </c>
      <c r="E23" s="2" t="s">
        <v>114</v>
      </c>
      <c r="F23" s="3">
        <v>0</v>
      </c>
      <c r="G23" s="2" t="s">
        <v>114</v>
      </c>
      <c r="H23" s="2" t="s">
        <v>344</v>
      </c>
      <c r="I23" s="9" t="s">
        <v>115</v>
      </c>
    </row>
    <row r="24" spans="1:9" x14ac:dyDescent="0.25">
      <c r="A24" s="2" t="s">
        <v>111</v>
      </c>
      <c r="B24" s="2" t="s">
        <v>153</v>
      </c>
      <c r="C24" s="2" t="s">
        <v>154</v>
      </c>
      <c r="D24" s="3">
        <v>7</v>
      </c>
      <c r="E24" s="2" t="s">
        <v>114</v>
      </c>
      <c r="F24" s="3">
        <v>0</v>
      </c>
      <c r="G24" s="2" t="s">
        <v>114</v>
      </c>
      <c r="H24" s="2" t="s">
        <v>343</v>
      </c>
      <c r="I24" s="9" t="s">
        <v>115</v>
      </c>
    </row>
    <row r="25" spans="1:9" x14ac:dyDescent="0.25">
      <c r="A25" s="2" t="s">
        <v>111</v>
      </c>
      <c r="B25" s="2" t="s">
        <v>155</v>
      </c>
      <c r="C25" s="2" t="s">
        <v>156</v>
      </c>
      <c r="D25" s="3">
        <v>5</v>
      </c>
      <c r="E25" s="2" t="s">
        <v>114</v>
      </c>
      <c r="F25" s="3">
        <v>0</v>
      </c>
      <c r="G25" s="2" t="s">
        <v>114</v>
      </c>
      <c r="H25" s="2" t="s">
        <v>342</v>
      </c>
      <c r="I25" s="9" t="s">
        <v>115</v>
      </c>
    </row>
    <row r="26" spans="1:9" x14ac:dyDescent="0.25">
      <c r="A26" s="2" t="s">
        <v>111</v>
      </c>
      <c r="B26" s="2" t="s">
        <v>157</v>
      </c>
      <c r="C26" s="2" t="s">
        <v>158</v>
      </c>
      <c r="D26" s="3">
        <v>2</v>
      </c>
      <c r="E26" s="2" t="s">
        <v>114</v>
      </c>
      <c r="F26" s="3">
        <v>0</v>
      </c>
      <c r="G26" s="2" t="s">
        <v>114</v>
      </c>
      <c r="H26" s="2" t="s">
        <v>341</v>
      </c>
      <c r="I26" s="9" t="s">
        <v>115</v>
      </c>
    </row>
    <row r="27" spans="1:9" x14ac:dyDescent="0.25">
      <c r="A27" s="2" t="s">
        <v>159</v>
      </c>
      <c r="B27" s="2" t="s">
        <v>160</v>
      </c>
      <c r="C27" s="2" t="s">
        <v>161</v>
      </c>
      <c r="D27" s="3">
        <v>4</v>
      </c>
      <c r="E27" s="2" t="s">
        <v>114</v>
      </c>
      <c r="F27" s="3">
        <v>0</v>
      </c>
      <c r="G27" s="2" t="s">
        <v>114</v>
      </c>
      <c r="H27" s="2" t="s">
        <v>340</v>
      </c>
      <c r="I27" s="9" t="s">
        <v>115</v>
      </c>
    </row>
    <row r="28" spans="1:9" x14ac:dyDescent="0.25">
      <c r="A28" s="2" t="s">
        <v>159</v>
      </c>
      <c r="B28" s="2" t="s">
        <v>162</v>
      </c>
      <c r="C28" s="2" t="s">
        <v>163</v>
      </c>
      <c r="D28" s="3">
        <v>14</v>
      </c>
      <c r="E28" s="2" t="s">
        <v>114</v>
      </c>
      <c r="F28" s="3">
        <v>0</v>
      </c>
      <c r="G28" s="2" t="s">
        <v>114</v>
      </c>
      <c r="H28" s="2" t="s">
        <v>339</v>
      </c>
      <c r="I28" s="9" t="s">
        <v>115</v>
      </c>
    </row>
    <row r="29" spans="1:9" x14ac:dyDescent="0.25">
      <c r="A29" s="2" t="s">
        <v>159</v>
      </c>
      <c r="B29" s="2" t="s">
        <v>164</v>
      </c>
      <c r="C29" s="2" t="s">
        <v>165</v>
      </c>
      <c r="D29" s="3">
        <v>8</v>
      </c>
      <c r="E29" s="2" t="s">
        <v>114</v>
      </c>
      <c r="F29" s="3">
        <v>0</v>
      </c>
      <c r="G29" s="2" t="s">
        <v>114</v>
      </c>
      <c r="H29" s="2" t="s">
        <v>338</v>
      </c>
      <c r="I29" s="9" t="s">
        <v>115</v>
      </c>
    </row>
  </sheetData>
  <autoFilter ref="A4:I29" xr:uid="{00000000-0009-0000-0000-000002000000}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8" customWidth="1"/>
    <col min="2" max="2" width="26" customWidth="1"/>
    <col min="3" max="3" width="12" customWidth="1"/>
    <col min="4" max="4" width="95" customWidth="1"/>
  </cols>
  <sheetData>
    <row r="1" spans="1:4" ht="30" customHeight="1" x14ac:dyDescent="0.25">
      <c r="A1" s="21" t="s">
        <v>166</v>
      </c>
      <c r="B1" s="12"/>
      <c r="C1" s="12"/>
      <c r="D1" s="12"/>
    </row>
    <row r="2" spans="1:4" ht="18" customHeight="1" x14ac:dyDescent="0.25">
      <c r="A2" s="26" t="s">
        <v>167</v>
      </c>
      <c r="B2" s="12"/>
      <c r="C2" s="12"/>
      <c r="D2" s="12"/>
    </row>
    <row r="4" spans="1:4" x14ac:dyDescent="0.25">
      <c r="A4" s="1" t="s">
        <v>40</v>
      </c>
      <c r="B4" s="1" t="s">
        <v>41</v>
      </c>
      <c r="C4" s="1" t="s">
        <v>16</v>
      </c>
      <c r="D4" s="1" t="s">
        <v>168</v>
      </c>
    </row>
    <row r="5" spans="1:4" ht="30" customHeight="1" x14ac:dyDescent="0.25">
      <c r="A5" s="2" t="s">
        <v>42</v>
      </c>
      <c r="B5" s="2" t="s">
        <v>169</v>
      </c>
      <c r="C5" s="5" t="s">
        <v>18</v>
      </c>
      <c r="D5" s="8" t="s">
        <v>170</v>
      </c>
    </row>
    <row r="6" spans="1:4" ht="30" customHeight="1" x14ac:dyDescent="0.25">
      <c r="A6" s="2" t="s">
        <v>44</v>
      </c>
      <c r="B6" s="2" t="s">
        <v>45</v>
      </c>
      <c r="C6" s="7" t="s">
        <v>46</v>
      </c>
      <c r="D6" s="8" t="s">
        <v>171</v>
      </c>
    </row>
    <row r="7" spans="1:4" ht="30" customHeight="1" x14ac:dyDescent="0.25">
      <c r="A7" s="2" t="s">
        <v>172</v>
      </c>
      <c r="B7" s="2" t="s">
        <v>173</v>
      </c>
      <c r="C7" s="6" t="s">
        <v>24</v>
      </c>
      <c r="D7" s="8" t="s">
        <v>174</v>
      </c>
    </row>
    <row r="8" spans="1:4" ht="30" customHeight="1" x14ac:dyDescent="0.25">
      <c r="A8" s="2" t="s">
        <v>175</v>
      </c>
      <c r="B8" s="2" t="s">
        <v>176</v>
      </c>
      <c r="C8" s="5" t="s">
        <v>18</v>
      </c>
      <c r="D8" s="8" t="s">
        <v>177</v>
      </c>
    </row>
    <row r="9" spans="1:4" ht="30" customHeight="1" x14ac:dyDescent="0.25">
      <c r="A9" s="2" t="s">
        <v>178</v>
      </c>
      <c r="B9" s="2" t="s">
        <v>179</v>
      </c>
      <c r="C9" s="5" t="s">
        <v>18</v>
      </c>
      <c r="D9" s="8" t="s">
        <v>180</v>
      </c>
    </row>
    <row r="10" spans="1:4" ht="30" customHeight="1" x14ac:dyDescent="0.25">
      <c r="A10" s="2" t="s">
        <v>181</v>
      </c>
      <c r="B10" s="2" t="s">
        <v>45</v>
      </c>
      <c r="C10" s="7" t="s">
        <v>46</v>
      </c>
      <c r="D10" s="8" t="s">
        <v>182</v>
      </c>
    </row>
    <row r="11" spans="1:4" ht="30" customHeight="1" x14ac:dyDescent="0.25">
      <c r="A11" s="2" t="s">
        <v>183</v>
      </c>
      <c r="B11" s="2" t="s">
        <v>179</v>
      </c>
      <c r="C11" s="6" t="s">
        <v>24</v>
      </c>
      <c r="D11" s="8" t="s">
        <v>184</v>
      </c>
    </row>
    <row r="12" spans="1:4" ht="30" customHeight="1" x14ac:dyDescent="0.25">
      <c r="A12" s="2" t="s">
        <v>185</v>
      </c>
      <c r="B12" s="2" t="s">
        <v>45</v>
      </c>
      <c r="C12" s="7" t="s">
        <v>46</v>
      </c>
      <c r="D12" s="8" t="s">
        <v>186</v>
      </c>
    </row>
    <row r="13" spans="1:4" ht="30" customHeight="1" x14ac:dyDescent="0.25">
      <c r="A13" s="2" t="s">
        <v>187</v>
      </c>
      <c r="B13" s="2" t="s">
        <v>45</v>
      </c>
      <c r="C13" s="7" t="s">
        <v>46</v>
      </c>
      <c r="D13" s="8"/>
    </row>
    <row r="14" spans="1:4" ht="30" customHeight="1" x14ac:dyDescent="0.25">
      <c r="A14" s="2" t="s">
        <v>188</v>
      </c>
      <c r="B14" s="2" t="s">
        <v>45</v>
      </c>
      <c r="C14" s="7" t="s">
        <v>46</v>
      </c>
      <c r="D14" s="8" t="s">
        <v>189</v>
      </c>
    </row>
    <row r="15" spans="1:4" ht="30" customHeight="1" x14ac:dyDescent="0.25">
      <c r="A15" s="2" t="s">
        <v>190</v>
      </c>
      <c r="B15" s="2" t="s">
        <v>191</v>
      </c>
      <c r="C15" s="6" t="s">
        <v>24</v>
      </c>
      <c r="D15" s="8" t="s">
        <v>192</v>
      </c>
    </row>
    <row r="16" spans="1:4" ht="30" customHeight="1" x14ac:dyDescent="0.25">
      <c r="A16" s="2" t="s">
        <v>52</v>
      </c>
      <c r="B16" s="2" t="s">
        <v>193</v>
      </c>
      <c r="C16" s="7" t="s">
        <v>46</v>
      </c>
      <c r="D16" s="8" t="s">
        <v>194</v>
      </c>
    </row>
    <row r="17" spans="1:4" ht="30" customHeight="1" x14ac:dyDescent="0.25">
      <c r="A17" s="2" t="s">
        <v>56</v>
      </c>
      <c r="B17" s="2" t="s">
        <v>195</v>
      </c>
      <c r="C17" s="6" t="s">
        <v>58</v>
      </c>
      <c r="D17" s="8" t="s">
        <v>196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4" customWidth="1"/>
    <col min="2" max="2" width="40" customWidth="1"/>
    <col min="3" max="3" width="12" customWidth="1"/>
    <col min="4" max="4" width="14" customWidth="1"/>
    <col min="5" max="5" width="36" customWidth="1"/>
  </cols>
  <sheetData>
    <row r="1" spans="1:5" ht="30" customHeight="1" x14ac:dyDescent="0.25">
      <c r="A1" s="21" t="s">
        <v>197</v>
      </c>
      <c r="B1" s="12"/>
      <c r="C1" s="12"/>
      <c r="D1" s="12"/>
      <c r="E1" s="12"/>
    </row>
    <row r="2" spans="1:5" ht="18" customHeight="1" x14ac:dyDescent="0.25">
      <c r="A2" s="26" t="s">
        <v>198</v>
      </c>
      <c r="B2" s="12"/>
      <c r="C2" s="12"/>
      <c r="D2" s="12"/>
      <c r="E2" s="12"/>
    </row>
    <row r="4" spans="1:5" ht="25.5" x14ac:dyDescent="0.25">
      <c r="A4" s="1" t="s">
        <v>199</v>
      </c>
      <c r="B4" s="1" t="s">
        <v>200</v>
      </c>
      <c r="C4" s="1" t="s">
        <v>41</v>
      </c>
      <c r="D4" s="1" t="s">
        <v>201</v>
      </c>
      <c r="E4" s="1" t="s">
        <v>202</v>
      </c>
    </row>
    <row r="5" spans="1:5" x14ac:dyDescent="0.25">
      <c r="A5" s="2" t="s">
        <v>203</v>
      </c>
      <c r="B5" s="2" t="s">
        <v>204</v>
      </c>
      <c r="C5" s="2" t="s">
        <v>205</v>
      </c>
      <c r="D5" s="3">
        <v>12864</v>
      </c>
      <c r="E5" s="2"/>
    </row>
    <row r="6" spans="1:5" x14ac:dyDescent="0.25">
      <c r="A6" s="2" t="s">
        <v>206</v>
      </c>
      <c r="B6" s="2" t="s">
        <v>207</v>
      </c>
      <c r="C6" s="2" t="s">
        <v>205</v>
      </c>
      <c r="D6" s="3">
        <v>700</v>
      </c>
      <c r="E6" s="2"/>
    </row>
    <row r="7" spans="1:5" x14ac:dyDescent="0.25">
      <c r="A7" s="2" t="s">
        <v>208</v>
      </c>
      <c r="B7" s="2" t="s">
        <v>209</v>
      </c>
      <c r="C7" s="2" t="s">
        <v>205</v>
      </c>
      <c r="D7" s="3">
        <v>422</v>
      </c>
      <c r="E7" s="2"/>
    </row>
    <row r="8" spans="1:5" x14ac:dyDescent="0.25">
      <c r="A8" s="2" t="s">
        <v>210</v>
      </c>
      <c r="B8" s="2" t="s">
        <v>211</v>
      </c>
      <c r="C8" s="2" t="s">
        <v>205</v>
      </c>
      <c r="D8" s="3">
        <v>270</v>
      </c>
      <c r="E8" s="2" t="s">
        <v>212</v>
      </c>
    </row>
    <row r="9" spans="1:5" x14ac:dyDescent="0.25">
      <c r="A9" s="2" t="s">
        <v>213</v>
      </c>
      <c r="B9" s="2" t="s">
        <v>214</v>
      </c>
      <c r="C9" s="2" t="s">
        <v>205</v>
      </c>
      <c r="D9" s="3">
        <v>269</v>
      </c>
      <c r="E9" s="2" t="s">
        <v>212</v>
      </c>
    </row>
    <row r="10" spans="1:5" x14ac:dyDescent="0.25">
      <c r="A10" s="2" t="s">
        <v>215</v>
      </c>
      <c r="B10" s="2" t="s">
        <v>216</v>
      </c>
      <c r="C10" s="2" t="s">
        <v>205</v>
      </c>
      <c r="D10" s="3">
        <v>0</v>
      </c>
      <c r="E10" s="2" t="s">
        <v>217</v>
      </c>
    </row>
    <row r="11" spans="1:5" x14ac:dyDescent="0.25">
      <c r="A11" s="2" t="s">
        <v>218</v>
      </c>
      <c r="B11" s="2" t="s">
        <v>219</v>
      </c>
      <c r="C11" s="2" t="s">
        <v>205</v>
      </c>
      <c r="D11" s="3">
        <v>0</v>
      </c>
      <c r="E11" s="2" t="s">
        <v>217</v>
      </c>
    </row>
    <row r="12" spans="1:5" x14ac:dyDescent="0.25">
      <c r="A12" s="2" t="s">
        <v>220</v>
      </c>
      <c r="B12" s="2" t="s">
        <v>221</v>
      </c>
      <c r="C12" s="2" t="s">
        <v>205</v>
      </c>
      <c r="D12" s="3">
        <v>0</v>
      </c>
      <c r="E12" s="2" t="s">
        <v>217</v>
      </c>
    </row>
    <row r="13" spans="1:5" x14ac:dyDescent="0.25">
      <c r="A13" s="2" t="s">
        <v>222</v>
      </c>
      <c r="B13" s="2" t="s">
        <v>223</v>
      </c>
      <c r="C13" s="2" t="s">
        <v>205</v>
      </c>
      <c r="D13" s="3">
        <v>0</v>
      </c>
      <c r="E13" s="2" t="s">
        <v>217</v>
      </c>
    </row>
    <row r="14" spans="1:5" x14ac:dyDescent="0.25">
      <c r="A14" s="2" t="s">
        <v>224</v>
      </c>
      <c r="B14" s="2" t="s">
        <v>225</v>
      </c>
      <c r="C14" s="2" t="s">
        <v>205</v>
      </c>
      <c r="D14" s="3">
        <v>0</v>
      </c>
      <c r="E14" s="2" t="s">
        <v>217</v>
      </c>
    </row>
    <row r="15" spans="1:5" x14ac:dyDescent="0.25">
      <c r="A15" s="2" t="s">
        <v>226</v>
      </c>
      <c r="B15" s="2" t="s">
        <v>227</v>
      </c>
      <c r="C15" s="2" t="s">
        <v>228</v>
      </c>
      <c r="D15" s="3">
        <v>0</v>
      </c>
      <c r="E15" s="2" t="s">
        <v>217</v>
      </c>
    </row>
    <row r="16" spans="1:5" x14ac:dyDescent="0.25">
      <c r="A16" s="2" t="s">
        <v>229</v>
      </c>
      <c r="B16" s="2" t="s">
        <v>230</v>
      </c>
      <c r="C16" s="2" t="s">
        <v>228</v>
      </c>
      <c r="D16" s="3">
        <v>0</v>
      </c>
      <c r="E16" s="2" t="s">
        <v>217</v>
      </c>
    </row>
    <row r="18" spans="1:5" ht="20.100000000000001" customHeight="1" x14ac:dyDescent="0.25">
      <c r="A18" s="19" t="s">
        <v>231</v>
      </c>
      <c r="B18" s="12"/>
      <c r="C18" s="12"/>
      <c r="D18" s="12"/>
      <c r="E18" s="12"/>
    </row>
    <row r="19" spans="1:5" x14ac:dyDescent="0.25">
      <c r="A19" s="2" t="s">
        <v>232</v>
      </c>
      <c r="B19" s="2">
        <v>5</v>
      </c>
      <c r="C19" s="2"/>
      <c r="D19" s="2"/>
      <c r="E19" s="2"/>
    </row>
    <row r="20" spans="1:5" x14ac:dyDescent="0.25">
      <c r="A20" s="2" t="s">
        <v>205</v>
      </c>
      <c r="B20" s="2">
        <v>5</v>
      </c>
      <c r="C20" s="2"/>
      <c r="D20" s="2"/>
      <c r="E20" s="2"/>
    </row>
    <row r="21" spans="1:5" x14ac:dyDescent="0.25">
      <c r="A21" s="2" t="s">
        <v>233</v>
      </c>
      <c r="B21" s="2" t="s">
        <v>6</v>
      </c>
      <c r="C21" s="2"/>
      <c r="D21" s="2"/>
      <c r="E21" s="2"/>
    </row>
    <row r="22" spans="1:5" x14ac:dyDescent="0.25">
      <c r="A22" s="2" t="s">
        <v>234</v>
      </c>
      <c r="B22" s="2">
        <v>5</v>
      </c>
      <c r="C22" s="2"/>
      <c r="D22" s="2"/>
      <c r="E22" s="2"/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showGridLines="0" workbookViewId="0"/>
  </sheetViews>
  <sheetFormatPr defaultRowHeight="15" x14ac:dyDescent="0.25"/>
  <cols>
    <col min="1" max="1" width="26" customWidth="1"/>
    <col min="2" max="2" width="50" customWidth="1"/>
    <col min="3" max="3" width="12" customWidth="1"/>
    <col min="4" max="4" width="56" customWidth="1"/>
  </cols>
  <sheetData>
    <row r="1" spans="1:4" ht="30" customHeight="1" x14ac:dyDescent="0.25">
      <c r="A1" s="21" t="s">
        <v>235</v>
      </c>
      <c r="B1" s="12"/>
      <c r="C1" s="12"/>
      <c r="D1" s="12"/>
    </row>
    <row r="2" spans="1:4" ht="18" customHeight="1" x14ac:dyDescent="0.25">
      <c r="A2" s="26" t="s">
        <v>236</v>
      </c>
      <c r="B2" s="12"/>
      <c r="C2" s="12"/>
      <c r="D2" s="12"/>
    </row>
    <row r="4" spans="1:4" x14ac:dyDescent="0.25">
      <c r="A4" s="1" t="s">
        <v>237</v>
      </c>
      <c r="B4" s="1" t="s">
        <v>238</v>
      </c>
      <c r="C4" s="1" t="s">
        <v>41</v>
      </c>
      <c r="D4" s="1" t="s">
        <v>239</v>
      </c>
    </row>
    <row r="5" spans="1:4" ht="27.95" customHeight="1" x14ac:dyDescent="0.25">
      <c r="A5" s="2" t="s">
        <v>240</v>
      </c>
      <c r="B5" s="8" t="s">
        <v>241</v>
      </c>
      <c r="C5" s="7" t="s">
        <v>46</v>
      </c>
      <c r="D5" s="8" t="s">
        <v>242</v>
      </c>
    </row>
    <row r="6" spans="1:4" ht="27.95" customHeight="1" x14ac:dyDescent="0.25">
      <c r="A6" s="2" t="s">
        <v>243</v>
      </c>
      <c r="B6" s="8" t="s">
        <v>244</v>
      </c>
      <c r="C6" s="6" t="s">
        <v>24</v>
      </c>
      <c r="D6" s="8" t="s">
        <v>245</v>
      </c>
    </row>
    <row r="7" spans="1:4" ht="27.95" customHeight="1" x14ac:dyDescent="0.25">
      <c r="A7" s="2" t="s">
        <v>246</v>
      </c>
      <c r="B7" s="8" t="s">
        <v>244</v>
      </c>
      <c r="C7" s="6" t="s">
        <v>24</v>
      </c>
      <c r="D7" s="8" t="s">
        <v>247</v>
      </c>
    </row>
    <row r="8" spans="1:4" ht="27.95" customHeight="1" x14ac:dyDescent="0.25">
      <c r="A8" s="2" t="s">
        <v>248</v>
      </c>
      <c r="B8" s="8" t="s">
        <v>244</v>
      </c>
      <c r="C8" s="6" t="s">
        <v>24</v>
      </c>
      <c r="D8" s="8" t="s">
        <v>249</v>
      </c>
    </row>
    <row r="9" spans="1:4" ht="27.95" customHeight="1" x14ac:dyDescent="0.25">
      <c r="A9" s="2" t="s">
        <v>250</v>
      </c>
      <c r="B9" s="8" t="s">
        <v>251</v>
      </c>
      <c r="C9" s="5" t="s">
        <v>18</v>
      </c>
      <c r="D9" s="8" t="s">
        <v>252</v>
      </c>
    </row>
    <row r="10" spans="1:4" ht="27.95" customHeight="1" x14ac:dyDescent="0.25">
      <c r="A10" s="2" t="s">
        <v>253</v>
      </c>
      <c r="B10" s="8" t="s">
        <v>254</v>
      </c>
      <c r="C10" s="6" t="s">
        <v>24</v>
      </c>
      <c r="D10" s="8" t="s">
        <v>255</v>
      </c>
    </row>
    <row r="11" spans="1:4" ht="27.95" customHeight="1" x14ac:dyDescent="0.25">
      <c r="A11" s="2" t="s">
        <v>256</v>
      </c>
      <c r="B11" s="8" t="s">
        <v>257</v>
      </c>
      <c r="C11" s="6" t="s">
        <v>58</v>
      </c>
      <c r="D11" s="8" t="s">
        <v>258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showGridLines="0" workbookViewId="0"/>
  </sheetViews>
  <sheetFormatPr defaultRowHeight="15" x14ac:dyDescent="0.25"/>
  <cols>
    <col min="1" max="1" width="26" customWidth="1"/>
    <col min="2" max="2" width="38" customWidth="1"/>
    <col min="3" max="3" width="12" customWidth="1"/>
    <col min="4" max="5" width="48" customWidth="1"/>
  </cols>
  <sheetData>
    <row r="1" spans="1:5" ht="30" customHeight="1" x14ac:dyDescent="0.25">
      <c r="A1" s="21" t="s">
        <v>259</v>
      </c>
      <c r="B1" s="12"/>
      <c r="C1" s="12"/>
      <c r="D1" s="12"/>
      <c r="E1" s="12"/>
    </row>
    <row r="2" spans="1:5" ht="18" customHeight="1" x14ac:dyDescent="0.25">
      <c r="A2" s="26" t="s">
        <v>260</v>
      </c>
      <c r="B2" s="12"/>
      <c r="C2" s="12"/>
      <c r="D2" s="12"/>
      <c r="E2" s="12"/>
    </row>
    <row r="4" spans="1:5" x14ac:dyDescent="0.25">
      <c r="A4" s="1" t="s">
        <v>261</v>
      </c>
      <c r="B4" s="1" t="s">
        <v>262</v>
      </c>
      <c r="C4" s="1" t="s">
        <v>16</v>
      </c>
      <c r="D4" s="1" t="s">
        <v>263</v>
      </c>
      <c r="E4" s="1" t="s">
        <v>264</v>
      </c>
    </row>
    <row r="5" spans="1:5" ht="30" customHeight="1" x14ac:dyDescent="0.25">
      <c r="A5" s="2" t="s">
        <v>265</v>
      </c>
      <c r="B5" s="8" t="s">
        <v>179</v>
      </c>
      <c r="C5" s="5" t="s">
        <v>18</v>
      </c>
      <c r="D5" s="8" t="s">
        <v>266</v>
      </c>
      <c r="E5" s="8" t="s">
        <v>267</v>
      </c>
    </row>
    <row r="6" spans="1:5" ht="30" customHeight="1" x14ac:dyDescent="0.25">
      <c r="A6" s="2" t="s">
        <v>268</v>
      </c>
      <c r="B6" s="8" t="s">
        <v>269</v>
      </c>
      <c r="C6" s="5" t="s">
        <v>18</v>
      </c>
      <c r="D6" s="8" t="s">
        <v>270</v>
      </c>
      <c r="E6" s="8" t="s">
        <v>271</v>
      </c>
    </row>
    <row r="7" spans="1:5" ht="30" customHeight="1" x14ac:dyDescent="0.25">
      <c r="A7" s="2" t="s">
        <v>272</v>
      </c>
      <c r="B7" s="8" t="s">
        <v>273</v>
      </c>
      <c r="C7" s="5" t="s">
        <v>18</v>
      </c>
      <c r="D7" s="8" t="s">
        <v>274</v>
      </c>
      <c r="E7" s="8" t="s">
        <v>275</v>
      </c>
    </row>
    <row r="8" spans="1:5" ht="30" customHeight="1" x14ac:dyDescent="0.25">
      <c r="A8" s="2" t="s">
        <v>276</v>
      </c>
      <c r="B8" s="8" t="s">
        <v>277</v>
      </c>
      <c r="C8" s="5" t="s">
        <v>18</v>
      </c>
      <c r="D8" s="8" t="s">
        <v>278</v>
      </c>
      <c r="E8" s="8" t="s">
        <v>279</v>
      </c>
    </row>
    <row r="9" spans="1:5" ht="30" customHeight="1" x14ac:dyDescent="0.25">
      <c r="A9" s="2" t="s">
        <v>280</v>
      </c>
      <c r="B9" s="8" t="s">
        <v>281</v>
      </c>
      <c r="C9" s="7" t="s">
        <v>46</v>
      </c>
      <c r="D9" s="8" t="s">
        <v>282</v>
      </c>
      <c r="E9" s="8" t="s">
        <v>283</v>
      </c>
    </row>
    <row r="10" spans="1:5" ht="30" customHeight="1" x14ac:dyDescent="0.25">
      <c r="A10" s="2" t="s">
        <v>284</v>
      </c>
      <c r="B10" s="8" t="s">
        <v>285</v>
      </c>
      <c r="C10" s="6" t="s">
        <v>24</v>
      </c>
      <c r="D10" s="8" t="s">
        <v>286</v>
      </c>
      <c r="E10" s="8" t="s">
        <v>287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E15"/>
  <sheetViews>
    <sheetView showGridLines="0" workbookViewId="0"/>
  </sheetViews>
  <sheetFormatPr defaultRowHeight="15" x14ac:dyDescent="0.25"/>
  <cols>
    <col min="1" max="1" width="9" customWidth="1"/>
    <col min="2" max="2" width="70" customWidth="1"/>
    <col min="3" max="3" width="28" customWidth="1"/>
    <col min="4" max="4" width="26" customWidth="1"/>
    <col min="5" max="5" width="48" customWidth="1"/>
  </cols>
  <sheetData>
    <row r="1" spans="1:5" ht="30" customHeight="1" x14ac:dyDescent="0.25">
      <c r="A1" s="21" t="s">
        <v>288</v>
      </c>
      <c r="B1" s="12"/>
      <c r="C1" s="12"/>
      <c r="D1" s="12"/>
      <c r="E1" s="12"/>
    </row>
    <row r="2" spans="1:5" ht="18" customHeight="1" x14ac:dyDescent="0.25">
      <c r="A2" s="26" t="s">
        <v>289</v>
      </c>
      <c r="B2" s="12"/>
      <c r="C2" s="12"/>
      <c r="D2" s="12"/>
      <c r="E2" s="12"/>
    </row>
    <row r="4" spans="1:5" x14ac:dyDescent="0.25">
      <c r="A4" s="1" t="s">
        <v>290</v>
      </c>
      <c r="B4" s="1" t="s">
        <v>239</v>
      </c>
      <c r="C4" s="1" t="s">
        <v>291</v>
      </c>
      <c r="D4" s="1" t="s">
        <v>292</v>
      </c>
      <c r="E4" s="1" t="s">
        <v>293</v>
      </c>
    </row>
    <row r="5" spans="1:5" ht="39.950000000000003" customHeight="1" x14ac:dyDescent="0.25">
      <c r="A5" s="10" t="s">
        <v>294</v>
      </c>
      <c r="B5" s="8" t="s">
        <v>295</v>
      </c>
      <c r="C5" s="8" t="s">
        <v>296</v>
      </c>
      <c r="D5" s="8" t="s">
        <v>297</v>
      </c>
      <c r="E5" s="8" t="s">
        <v>298</v>
      </c>
    </row>
    <row r="6" spans="1:5" ht="39.950000000000003" customHeight="1" x14ac:dyDescent="0.25">
      <c r="A6" s="10" t="s">
        <v>299</v>
      </c>
      <c r="B6" s="8" t="s">
        <v>300</v>
      </c>
      <c r="C6" s="8" t="s">
        <v>7</v>
      </c>
      <c r="D6" s="8" t="s">
        <v>301</v>
      </c>
      <c r="E6" s="8" t="s">
        <v>302</v>
      </c>
    </row>
    <row r="7" spans="1:5" ht="39.950000000000003" customHeight="1" x14ac:dyDescent="0.25">
      <c r="A7" s="10" t="s">
        <v>299</v>
      </c>
      <c r="B7" s="8" t="s">
        <v>303</v>
      </c>
      <c r="C7" s="8" t="s">
        <v>7</v>
      </c>
      <c r="D7" s="8" t="s">
        <v>304</v>
      </c>
      <c r="E7" s="8" t="s">
        <v>305</v>
      </c>
    </row>
    <row r="8" spans="1:5" ht="39.950000000000003" customHeight="1" x14ac:dyDescent="0.25">
      <c r="A8" s="10" t="s">
        <v>299</v>
      </c>
      <c r="B8" s="8" t="s">
        <v>306</v>
      </c>
      <c r="C8" s="8" t="s">
        <v>307</v>
      </c>
      <c r="D8" s="8" t="s">
        <v>308</v>
      </c>
      <c r="E8" s="8" t="s">
        <v>309</v>
      </c>
    </row>
    <row r="9" spans="1:5" ht="39.950000000000003" customHeight="1" x14ac:dyDescent="0.25">
      <c r="A9" s="10" t="s">
        <v>310</v>
      </c>
      <c r="B9" s="8" t="s">
        <v>311</v>
      </c>
      <c r="C9" s="8" t="s">
        <v>8</v>
      </c>
      <c r="D9" s="8" t="s">
        <v>312</v>
      </c>
      <c r="E9" s="8" t="s">
        <v>313</v>
      </c>
    </row>
    <row r="10" spans="1:5" ht="39.950000000000003" customHeight="1" x14ac:dyDescent="0.25">
      <c r="A10" s="10" t="s">
        <v>310</v>
      </c>
      <c r="B10" s="8" t="s">
        <v>314</v>
      </c>
      <c r="C10" s="8" t="s">
        <v>315</v>
      </c>
      <c r="D10" s="8" t="s">
        <v>316</v>
      </c>
      <c r="E10" s="8" t="s">
        <v>317</v>
      </c>
    </row>
    <row r="11" spans="1:5" ht="39.950000000000003" customHeight="1" x14ac:dyDescent="0.25">
      <c r="A11" s="10" t="s">
        <v>310</v>
      </c>
      <c r="B11" s="8" t="s">
        <v>318</v>
      </c>
      <c r="C11" s="8" t="s">
        <v>319</v>
      </c>
      <c r="D11" s="8" t="s">
        <v>320</v>
      </c>
      <c r="E11" s="8" t="s">
        <v>321</v>
      </c>
    </row>
    <row r="12" spans="1:5" ht="39.950000000000003" customHeight="1" x14ac:dyDescent="0.25">
      <c r="A12" s="10" t="s">
        <v>310</v>
      </c>
      <c r="B12" s="8" t="s">
        <v>322</v>
      </c>
      <c r="C12" s="8" t="s">
        <v>323</v>
      </c>
      <c r="D12" s="8" t="s">
        <v>324</v>
      </c>
      <c r="E12" s="8" t="s">
        <v>325</v>
      </c>
    </row>
    <row r="13" spans="1:5" ht="39.950000000000003" customHeight="1" x14ac:dyDescent="0.25">
      <c r="A13" s="10" t="s">
        <v>326</v>
      </c>
      <c r="B13" s="8" t="s">
        <v>327</v>
      </c>
      <c r="C13" s="8" t="s">
        <v>328</v>
      </c>
      <c r="D13" s="8" t="s">
        <v>297</v>
      </c>
      <c r="E13" s="8" t="s">
        <v>329</v>
      </c>
    </row>
    <row r="14" spans="1:5" ht="39.950000000000003" customHeight="1" x14ac:dyDescent="0.25">
      <c r="A14" s="10" t="s">
        <v>326</v>
      </c>
      <c r="B14" s="8" t="s">
        <v>330</v>
      </c>
      <c r="C14" s="8" t="s">
        <v>331</v>
      </c>
      <c r="D14" s="8" t="s">
        <v>332</v>
      </c>
      <c r="E14" s="8" t="s">
        <v>333</v>
      </c>
    </row>
    <row r="15" spans="1:5" ht="39.950000000000003" customHeight="1" x14ac:dyDescent="0.25">
      <c r="A15" s="10" t="s">
        <v>326</v>
      </c>
      <c r="B15" s="8" t="s">
        <v>334</v>
      </c>
      <c r="C15" s="8" t="s">
        <v>335</v>
      </c>
      <c r="D15" s="8" t="s">
        <v>336</v>
      </c>
      <c r="E15" s="8" t="s">
        <v>337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Product SEO</vt:lpstr>
      <vt:lpstr>Collection SEO</vt:lpstr>
      <vt:lpstr>Technical SEO</vt:lpstr>
      <vt:lpstr>Pages &amp; Blog</vt:lpstr>
      <vt:lpstr>Local SEO &amp; Entity</vt:lpstr>
      <vt:lpstr>AEO Readiness</vt:lpstr>
      <vt:lpstr>Fix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Horsley</cp:lastModifiedBy>
  <dcterms:created xsi:type="dcterms:W3CDTF">2026-06-11T14:55:30Z</dcterms:created>
  <dcterms:modified xsi:type="dcterms:W3CDTF">2026-06-11T15:08:37Z</dcterms:modified>
</cp:coreProperties>
</file>