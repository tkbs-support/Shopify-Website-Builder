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A:\TKBS Marketing - Git\Shopify-Website-Builder\RMD\"/>
    </mc:Choice>
  </mc:AlternateContent>
  <xr:revisionPtr revIDLastSave="0" documentId="13_ncr:1_{65FAA85F-3FB9-429A-B3FC-DAE9FD5D794A}" xr6:coauthVersionLast="47" xr6:coauthVersionMax="47" xr10:uidLastSave="{00000000-0000-0000-0000-000000000000}"/>
  <bookViews>
    <workbookView xWindow="14640" yWindow="1530" windowWidth="30360" windowHeight="17040" activeTab="7" xr2:uid="{00000000-000D-0000-FFFF-FFFF00000000}"/>
  </bookViews>
  <sheets>
    <sheet name="Summary" sheetId="1" r:id="rId1"/>
    <sheet name="By Product Type" sheetId="2" r:id="rId2"/>
    <sheet name="Option Types" sheetId="3" r:id="rId3"/>
    <sheet name="Color Values" sheetId="4" r:id="rId4"/>
    <sheet name="Size Values" sheetId="5" r:id="rId5"/>
    <sheet name="Data Quality" sheetId="6" r:id="rId6"/>
    <sheet name="Metafield Status" sheetId="7" r:id="rId7"/>
    <sheet name="Fix Roadmap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F17" i="2"/>
  <c r="D17" i="2"/>
  <c r="F16" i="2"/>
  <c r="D16" i="2"/>
  <c r="F15" i="2"/>
  <c r="D15" i="2"/>
  <c r="F14" i="2"/>
  <c r="D14" i="2"/>
  <c r="F13" i="2"/>
  <c r="D13" i="2"/>
  <c r="F12" i="2"/>
  <c r="D12" i="2"/>
  <c r="F11" i="2"/>
  <c r="D11" i="2"/>
  <c r="F10" i="2"/>
  <c r="D10" i="2"/>
  <c r="F9" i="2"/>
  <c r="D9" i="2"/>
  <c r="F8" i="2"/>
  <c r="D8" i="2"/>
  <c r="F7" i="2"/>
  <c r="D7" i="2"/>
  <c r="F6" i="2"/>
  <c r="D6" i="2"/>
  <c r="F5" i="2"/>
  <c r="D5" i="2"/>
  <c r="C73" i="1"/>
  <c r="C72" i="1"/>
  <c r="C71" i="1"/>
  <c r="C70" i="1"/>
  <c r="C69" i="1"/>
  <c r="C68" i="1"/>
  <c r="C67" i="1"/>
  <c r="C66" i="1"/>
  <c r="C52" i="1"/>
  <c r="C51" i="1"/>
  <c r="C50" i="1"/>
  <c r="C35" i="1"/>
  <c r="C34" i="1"/>
  <c r="C22" i="1"/>
  <c r="C21" i="1"/>
  <c r="C20" i="1"/>
  <c r="C19" i="1"/>
  <c r="C18" i="1"/>
</calcChain>
</file>

<file path=xl/sharedStrings.xml><?xml version="1.0" encoding="utf-8"?>
<sst xmlns="http://schemas.openxmlformats.org/spreadsheetml/2006/main" count="364" uniqueCount="288">
  <si>
    <t>Rachel Marie Designs — Inventory Recovery Plan</t>
  </si>
  <si>
    <t>Audit date: June 11, 2026  |  rmdjewelry.com  |  Scope: in-stock products  |  Source: Shopify Admin API + live site crawl</t>
  </si>
  <si>
    <t>IN-STOCK PRODUCTS</t>
  </si>
  <si>
    <t>MISSING COLOR OPTION</t>
  </si>
  <si>
    <t>MISSING SIZE OPTION</t>
  </si>
  <si>
    <t>NO OPTIONS AT ALL</t>
  </si>
  <si>
    <t>of 474 active listings</t>
  </si>
  <si>
    <t>92 in-stock products</t>
  </si>
  <si>
    <t>70 “Default Title” products</t>
  </si>
  <si>
    <t>WHAT SHOPPERS CAN FILTER ON THE LIVE SITE TODAY  (checked June 11, 2026 — /collections/essentials)</t>
  </si>
  <si>
    <t>Filter</t>
  </si>
  <si>
    <t>Available?</t>
  </si>
  <si>
    <t>Why</t>
  </si>
  <si>
    <t>In stock / availability</t>
  </si>
  <si>
    <t>YES</t>
  </si>
  <si>
    <t>Standard Shopify filter</t>
  </si>
  <si>
    <t>Price</t>
  </si>
  <si>
    <t>Color</t>
  </si>
  <si>
    <t>Option data + Search &amp; Discovery config required</t>
  </si>
  <si>
    <t>Size</t>
  </si>
  <si>
    <t>NO</t>
  </si>
  <si>
    <t>Brand / vendor</t>
  </si>
  <si>
    <t>Filter not enabled (vendor data: 0 active products missing vendor)</t>
  </si>
  <si>
    <t>IN-STOCK FILTER READINESS</t>
  </si>
  <si>
    <t>Status</t>
  </si>
  <si>
    <t>Products</t>
  </si>
  <si>
    <t>% of in-stock</t>
  </si>
  <si>
    <t>Has Color option</t>
  </si>
  <si>
    <t>Missing Color option</t>
  </si>
  <si>
    <t>Has Size option</t>
  </si>
  <si>
    <t>Missing Size option</t>
  </si>
  <si>
    <t>No options (“Default Title”)</t>
  </si>
  <si>
    <t>CATALOG OVERVIEW</t>
  </si>
  <si>
    <t>% of active</t>
  </si>
  <si>
    <t>In stock</t>
  </si>
  <si>
    <t>Out of stock (still published)</t>
  </si>
  <si>
    <t>Active products (total)</t>
  </si>
  <si>
    <t>Draft products (not published)</t>
  </si>
  <si>
    <t>43% of the published catalog is out of stock — shoppers and Google still see these pages.</t>
  </si>
  <si>
    <t>OPTION NAMING HEALTH — “Color” is spelled 3 different ways</t>
  </si>
  <si>
    <t>Spelling used</t>
  </si>
  <si>
    <t>Share</t>
  </si>
  <si>
    <t>“Color” (correct)</t>
  </si>
  <si>
    <t>“COLOR”</t>
  </si>
  <si>
    <t>Other variants</t>
  </si>
  <si>
    <t>Filters treat every spelling as a separate option — these must be unified before Color/Size filters work.</t>
  </si>
  <si>
    <t>COLOR VALUES — naming sprawl check</t>
  </si>
  <si>
    <t>Top color values (in-stock)</t>
  </si>
  <si>
    <t>Share of color products</t>
  </si>
  <si>
    <t>Clear</t>
  </si>
  <si>
    <t>Jet</t>
  </si>
  <si>
    <t>Aurora Borealis</t>
  </si>
  <si>
    <t>Denim Ignite</t>
  </si>
  <si>
    <t>Aqua Champagne</t>
  </si>
  <si>
    <t>Verde</t>
  </si>
  <si>
    <t>Light Colorado Topaz</t>
  </si>
  <si>
    <t>Silvernight</t>
  </si>
  <si>
    <t>UNIQUE color values (in-stock)</t>
  </si>
  <si>
    <t>256 different color names across 176 in-stock color products. Canonical palette mapping (shopify.color-pattern metafield) currently covers 10 in-stock products.</t>
  </si>
  <si>
    <t>CATALOG AGE — listings by year created</t>
  </si>
  <si>
    <t>Year created</t>
  </si>
  <si>
    <t>Active listings</t>
  </si>
  <si>
    <t>Still in stock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</si>
  <si>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</si>
  <si>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</si>
  <si>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</si>
  <si>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</si>
  <si>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</si>
  <si>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</si>
  <si>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</si>
  <si>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</si>
  <si>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</si>
  <si>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PRICE PROFILE (in-stock variants)</t>
  </si>
  <si>
    <t>Lowest</t>
  </si>
  <si>
    <t>Typical low (25th pct)</t>
  </si>
  <si>
    <t>Median</t>
  </si>
  <si>
    <t>Typical high (75th pct)</t>
  </si>
  <si>
    <t>Highest</t>
  </si>
  <si>
    <t>Filter Readiness by Product Type (in-stock focus)</t>
  </si>
  <si>
    <t>Sorted by in-stock count. Color % / Size % = share of in-stock products that have that option.</t>
  </si>
  <si>
    <t>Product Type</t>
  </si>
  <si>
    <t>In Stock</t>
  </si>
  <si>
    <t>Has Color</t>
  </si>
  <si>
    <t>Color %</t>
  </si>
  <si>
    <t>Has Size</t>
  </si>
  <si>
    <t>Size %</t>
  </si>
  <si>
    <t>No Description</t>
  </si>
  <si>
    <t>No Images</t>
  </si>
  <si>
    <t>Active (all)</t>
  </si>
  <si>
    <t>Note</t>
  </si>
  <si>
    <t>(none)</t>
  </si>
  <si>
    <t>EARRINGS</t>
  </si>
  <si>
    <t>NECKLACE</t>
  </si>
  <si>
    <t>BRACELETS</t>
  </si>
  <si>
    <t>NECKLACES</t>
  </si>
  <si>
    <t>RINGS</t>
  </si>
  <si>
    <t>JEWELRY</t>
  </si>
  <si>
    <t>Handbag</t>
  </si>
  <si>
    <t>TOP</t>
  </si>
  <si>
    <t>J E W</t>
  </si>
  <si>
    <t>HAND SANITIZER</t>
  </si>
  <si>
    <t>SOCKS</t>
  </si>
  <si>
    <t>TEA</t>
  </si>
  <si>
    <t>candle</t>
  </si>
  <si>
    <t>brace</t>
  </si>
  <si>
    <t>Complete Inventory of Product Option Types</t>
  </si>
  <si>
    <t>474 active products scanned  |  153 have no options at all</t>
  </si>
  <si>
    <t>Option (canonical)</t>
  </si>
  <si>
    <t>Active Products</t>
  </si>
  <si>
    <t>Unique Values</t>
  </si>
  <si>
    <t>Spellings found</t>
  </si>
  <si>
    <t>Assessment</t>
  </si>
  <si>
    <t>Color:179, COLOR:113, color:1</t>
  </si>
  <si>
    <t>PRIMARY filter — fix naming, then map values</t>
  </si>
  <si>
    <t>Size:10</t>
  </si>
  <si>
    <t>PRIMARY filter — fix naming</t>
  </si>
  <si>
    <t>Flavors</t>
  </si>
  <si>
    <t>Flavors:2</t>
  </si>
  <si>
    <t>Review</t>
  </si>
  <si>
    <t>Shapes</t>
  </si>
  <si>
    <t>SHAPES:1</t>
  </si>
  <si>
    <t>Color/Size</t>
  </si>
  <si>
    <t>Color/Size:1</t>
  </si>
  <si>
    <t>Cranston Necklace</t>
  </si>
  <si>
    <t>Cranston Necklace:1</t>
  </si>
  <si>
    <t>Newport Necklace</t>
  </si>
  <si>
    <t>Newport Necklace:1</t>
  </si>
  <si>
    <t>Sparkleocity Earring</t>
  </si>
  <si>
    <t>Sparkleocity Earring:1</t>
  </si>
  <si>
    <t>Crossroads Necklace</t>
  </si>
  <si>
    <t>Crossroads Necklace:1</t>
  </si>
  <si>
    <t>Zig Zag Bracelet</t>
  </si>
  <si>
    <t>Zig Zag Bracelet:1</t>
  </si>
  <si>
    <t>Bruna Necklace</t>
  </si>
  <si>
    <t>Bruna Necklace:1</t>
  </si>
  <si>
    <t>Evie Bracelet</t>
  </si>
  <si>
    <t>Evie Bracelet:1</t>
  </si>
  <si>
    <t>Grand Rapids Earring</t>
  </si>
  <si>
    <t>Grand Rapids Earring:1</t>
  </si>
  <si>
    <t>Jamie Bracelet Gold</t>
  </si>
  <si>
    <t>Jamie Bracelet Gold:1</t>
  </si>
  <si>
    <t>Scent</t>
  </si>
  <si>
    <t>SCENT:1</t>
  </si>
  <si>
    <t>Coin</t>
  </si>
  <si>
    <t>COIN:1</t>
  </si>
  <si>
    <t>Balance Blend</t>
  </si>
  <si>
    <t>Balance Blend:1</t>
  </si>
  <si>
    <t>Nail Colors</t>
  </si>
  <si>
    <t>NAIL COLORS:1</t>
  </si>
  <si>
    <t>Hair And Body Care</t>
  </si>
  <si>
    <t>HAIR AND BODY CARE:1</t>
  </si>
  <si>
    <t>Color Values — In-Stock Products</t>
  </si>
  <si>
    <t>256 unique values across 176 in-stock products with a Color option (308 unique across full active catalog)</t>
  </si>
  <si>
    <t>Rank</t>
  </si>
  <si>
    <t>Value</t>
  </si>
  <si>
    <t>In-Stock Products</t>
  </si>
  <si>
    <t>% of products with option</t>
  </si>
  <si>
    <t>Silky Sage</t>
  </si>
  <si>
    <t>Light Rose</t>
  </si>
  <si>
    <t>Electric Pink</t>
  </si>
  <si>
    <t>Dusty Pink Delite</t>
  </si>
  <si>
    <t>Vintage Rose</t>
  </si>
  <si>
    <t>Electric Orange</t>
  </si>
  <si>
    <t>Serene Grey</t>
  </si>
  <si>
    <t>Montana</t>
  </si>
  <si>
    <t>Electric White</t>
  </si>
  <si>
    <t>Linen</t>
  </si>
  <si>
    <t>Aqua Lemon</t>
  </si>
  <si>
    <t>Champagne</t>
  </si>
  <si>
    <t>Electric Violet</t>
  </si>
  <si>
    <t>Siam</t>
  </si>
  <si>
    <t>Dark Grey Ignite</t>
  </si>
  <si>
    <t>Iris</t>
  </si>
  <si>
    <t>Lotus Pink</t>
  </si>
  <si>
    <t>Moonlight</t>
  </si>
  <si>
    <t>Vitrail Medium</t>
  </si>
  <si>
    <t>Golden Shadow</t>
  </si>
  <si>
    <t>Orange Glow</t>
  </si>
  <si>
    <t>White Opal</t>
  </si>
  <si>
    <t>Dark Rose</t>
  </si>
  <si>
    <t>Emerald</t>
  </si>
  <si>
    <t>Tranquility</t>
  </si>
  <si>
    <t>Ab</t>
  </si>
  <si>
    <t>Agave</t>
  </si>
  <si>
    <t>Light Sapphire</t>
  </si>
  <si>
    <t>Mystique</t>
  </si>
  <si>
    <t>Medley</t>
  </si>
  <si>
    <t>Flamingo</t>
  </si>
  <si>
    <t>Soft Yellow</t>
  </si>
  <si>
    <t>Ocean Delite</t>
  </si>
  <si>
    <t>Electric Green</t>
  </si>
  <si>
    <t>Light Sapphire Ab</t>
  </si>
  <si>
    <t>Peacock Eye</t>
  </si>
  <si>
    <t>Rose Lemon</t>
  </si>
  <si>
    <t>Denim</t>
  </si>
  <si>
    <t>Silver Night</t>
  </si>
  <si>
    <t>Scarlet</t>
  </si>
  <si>
    <t>Aqua Glacier Blue</t>
  </si>
  <si>
    <t>Bermuda</t>
  </si>
  <si>
    <t>Silver Ombre</t>
  </si>
  <si>
    <t>Linen Ignite</t>
  </si>
  <si>
    <t>Jet White Patina</t>
  </si>
  <si>
    <t>Laguna</t>
  </si>
  <si>
    <t>Lavender Delite</t>
  </si>
  <si>
    <t>Ocean Delight</t>
  </si>
  <si>
    <t>Turquoise</t>
  </si>
  <si>
    <t>Lime</t>
  </si>
  <si>
    <t>Paradise Shine</t>
  </si>
  <si>
    <t>Sandstorm</t>
  </si>
  <si>
    <t>Size Values — In-Stock Products</t>
  </si>
  <si>
    <t>13 unique values across 9 in-stock products with a Size option (14 unique across full active catalog)</t>
  </si>
  <si>
    <t>XL</t>
  </si>
  <si>
    <t>MEDIUM</t>
  </si>
  <si>
    <t>SMALL</t>
  </si>
  <si>
    <t>3XL</t>
  </si>
  <si>
    <t>LARGE</t>
  </si>
  <si>
    <t>2XL</t>
  </si>
  <si>
    <t>ISLAND TROPICS</t>
  </si>
  <si>
    <t>CLEAR</t>
  </si>
  <si>
    <t>JASMINE</t>
  </si>
  <si>
    <t>SILVER OMBRE</t>
  </si>
  <si>
    <t>JET/ IRIS</t>
  </si>
  <si>
    <t>JET/ CLEAR</t>
  </si>
  <si>
    <t>ANTIQUE SILVER/ IRIS</t>
  </si>
  <si>
    <t>Data Quality — Option Naming Cleanup List</t>
  </si>
  <si>
    <t>115 products carry a misspelled or inconsistent option name. Fixes change only the option LABEL — no variants, prices, or inventory are touched.</t>
  </si>
  <si>
    <t>Issue</t>
  </si>
  <si>
    <t>Current Spelling</t>
  </si>
  <si>
    <t>Should Be</t>
  </si>
  <si>
    <t>Products Affected</t>
  </si>
  <si>
    <t>Inconsistent casing</t>
  </si>
  <si>
    <t>COLOR</t>
  </si>
  <si>
    <t>color</t>
  </si>
  <si>
    <t>SCENT</t>
  </si>
  <si>
    <t>NON-STANDARD OPTIONS TO REVIEW</t>
  </si>
  <si>
    <t>Option Name(s)</t>
  </si>
  <si>
    <t>SHAPES</t>
  </si>
  <si>
    <t>COIN</t>
  </si>
  <si>
    <t>NAIL COLORS</t>
  </si>
  <si>
    <t>HAIR AND BODY CARE</t>
  </si>
  <si>
    <t>Color Metafield (Canonical Palette) Status</t>
  </si>
  <si>
    <t>Shopify’s shopify.color-pattern metafield maps messy color names to a standard palette — the foundation for swatch filters.</t>
  </si>
  <si>
    <t>Metric</t>
  </si>
  <si>
    <t>% of scope</t>
  </si>
  <si>
    <t>In-stock products with color-pattern metafield</t>
  </si>
  <si>
    <t>Active products with color-pattern metafield</t>
  </si>
  <si>
    <t>Unique palette colors referenced (in-stock)</t>
  </si>
  <si>
    <t>Unique palette colors referenced (active)</t>
  </si>
  <si>
    <t>Unique raw color values to map (in-stock)</t>
  </si>
  <si>
    <t>Inventory Recovery — Fix Roadmap</t>
  </si>
  <si>
    <t>Sequenced so each phase unlocks the next. REVIEW EFFORT ESTIMATES PER CLIENT.</t>
  </si>
  <si>
    <t>Phase</t>
  </si>
  <si>
    <t>Action</t>
  </si>
  <si>
    <t>Scope</t>
  </si>
  <si>
    <t>Effort</t>
  </si>
  <si>
    <t>Risk</t>
  </si>
  <si>
    <t>Phase 1</t>
  </si>
  <si>
    <t>Option naming cleanup — unify option label spellings in one scripted batch.</t>
  </si>
  <si>
    <t>115 products (label only)</t>
  </si>
  <si>
    <t>Low — labels only</t>
  </si>
  <si>
    <t>Phase 2</t>
  </si>
  <si>
    <t>Enable Color &amp; Size filters — configure Search &amp; Discovery, activate color swatches on the live theme.</t>
  </si>
  <si>
    <t>Theme + app settings, 0 products</t>
  </si>
  <si>
    <t>None — display settings, reversible</t>
  </si>
  <si>
    <t>Phase 3</t>
  </si>
  <si>
    <t>Canonical color mapping — map raw color values to Shopify’s standard palette (color-pattern metafields).</t>
  </si>
  <si>
    <t>176 in-stock products / 256 values</t>
  </si>
  <si>
    <t>1–2 weeks scripted + review</t>
  </si>
  <si>
    <t>Low — additive metadata</t>
  </si>
  <si>
    <t>Phase 4</t>
  </si>
  <si>
    <t>Add missing Color/Size options to in-stock products, prioritized by product type.</t>
  </si>
  <si>
    <t>2–6 weeks, incremental</t>
  </si>
  <si>
    <t>Medium — dry-run per type</t>
  </si>
  <si>
    <t>Phase 5</t>
  </si>
  <si>
    <t>Out-of-stock cleanup — archive or hide stale zero-inventory listings.</t>
  </si>
  <si>
    <t>206 published OOS products</t>
  </si>
  <si>
    <t>1–2 days scripted after policy decision</t>
  </si>
  <si>
    <t>Medium — archive, don’t delete</t>
  </si>
  <si>
    <t>Phase 6</t>
  </si>
  <si>
    <t>Publish &amp; verify — confirm filters live on key collections, re-crawl, spot-check top collections.</t>
  </si>
  <si>
    <t>Site-wide</t>
  </si>
  <si>
    <t>Low</t>
  </si>
  <si>
    <t>size rarely applies to jewelry - low priority</t>
  </si>
  <si>
    <t>Low priority - only 9 in-stock products are sized (mostly jewelry)</t>
  </si>
  <si>
    <t>92 in-stock missing Color (Size not applicable to most jewelry)</t>
  </si>
  <si>
    <t>TOTAL</t>
  </si>
  <si>
    <t>4-8 hours</t>
  </si>
  <si>
    <t>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</si>
</sst>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.00"/>
    <numFmt numFmtId="166" formatCode="&quot;$&quot;#,##0"/>
  </numFmts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b/>
      <sz val="9"/>
      <color rgb="FFFFFFFF"/>
      <name val="Arial"/>
    </font>
    <font>
      <b/>
      <sz val="20"/>
      <color rgb="FFFFFFFF"/>
      <name val="Arial"/>
    </font>
    <font>
      <sz val="8"/>
      <color rgb="FFFFFFFF"/>
      <name val="Arial"/>
    </font>
    <font>
      <b/>
      <sz val="11"/>
      <color rgb="FF1F3864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548235"/>
      <name val="Arial"/>
    </font>
    <font>
      <b/>
      <sz val="10"/>
      <color rgb="FFC00000"/>
      <name val="Arial"/>
    </font>
    <font>
      <b/>
      <sz val="10"/>
      <name val="Arial"/>
    </font>
    <font>
      <i/>
      <sz val="9"/>
      <color rgb="FF808080"/>
      <name val="Arial"/>
    </font>
    <font>
      <b/>
      <sz val="10"/>
      <color rgb="FF1F3864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D9E2F3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3" fontId="8" fillId="0" borderId="1" xfId="0" applyNumberFormat="1" applyFont="1" applyBorder="1"/>
    <xf numFmtId="164" fontId="8" fillId="0" borderId="1" xfId="0" applyNumberFormat="1" applyFont="1" applyBorder="1"/>
    <xf numFmtId="0" fontId="11" fillId="0" borderId="1" xfId="0" applyFont="1" applyBorder="1"/>
    <xf numFmtId="0" fontId="12" fillId="0" borderId="0" xfId="0" applyFont="1"/>
    <xf numFmtId="0" fontId="10" fillId="0" borderId="1" xfId="0" applyFont="1" applyBorder="1"/>
    <xf numFmtId="3" fontId="10" fillId="0" borderId="1" xfId="0" applyNumberFormat="1" applyFont="1" applyBorder="1"/>
    <xf numFmtId="0" fontId="12" fillId="0" borderId="0" xfId="0" applyFont="1" applyAlignment="1">
      <alignment wrapText="1"/>
    </xf>
    <xf numFmtId="165" fontId="8" fillId="0" borderId="1" xfId="0" applyNumberFormat="1" applyFont="1" applyBorder="1"/>
    <xf numFmtId="166" fontId="8" fillId="0" borderId="1" xfId="0" applyNumberFormat="1" applyFont="1" applyBorder="1"/>
    <xf numFmtId="3" fontId="11" fillId="0" borderId="1" xfId="0" applyNumberFormat="1" applyFont="1" applyBorder="1"/>
    <xf numFmtId="0" fontId="13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3" fontId="4" fillId="2" borderId="0" xfId="0" applyNumberFormat="1" applyFont="1" applyFill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0" fontId="0" fillId="7" borderId="0" xfId="0" applyFill="1"/>
    <xf numFmtId="0" fontId="3" fillId="4" borderId="0" xfId="0" applyFont="1" applyFill="1" applyAlignment="1">
      <alignment horizontal="center" wrapText="1"/>
    </xf>
    <xf numFmtId="0" fontId="6" fillId="6" borderId="0" xfId="0" applyFont="1" applyFill="1" applyAlignment="1">
      <alignment horizontal="left" vertical="center" indent="1"/>
    </xf>
    <xf numFmtId="164" fontId="4" fillId="5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5" fillId="7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wrapText="1"/>
    </xf>
    <xf numFmtId="0" fontId="3" fillId="7" borderId="0" xfId="0" applyFont="1" applyFill="1" applyAlignment="1">
      <alignment horizontal="center" wrapText="1"/>
    </xf>
    <xf numFmtId="164" fontId="4" fillId="4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In-stock products: can they be filtered?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2E9BA6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54823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819-4E1C-ABA7-1FCBA1D05B81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819-4E1C-ABA7-1FCBA1D05B81}"/>
              </c:ext>
            </c:extLst>
          </c:dPt>
          <c:dPt>
            <c:idx val="2"/>
            <c:invertIfNegative val="1"/>
            <c:bubble3D val="0"/>
            <c:spPr>
              <a:solidFill>
                <a:srgbClr val="54823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819-4E1C-ABA7-1FCBA1D05B81}"/>
              </c:ext>
            </c:extLst>
          </c:dPt>
          <c:dPt>
            <c:idx val="3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819-4E1C-ABA7-1FCBA1D05B81}"/>
              </c:ext>
            </c:extLst>
          </c:dPt>
          <c:dPt>
            <c:idx val="4"/>
            <c:invertIfNegative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819-4E1C-ABA7-1FCBA1D05B8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Summary!$A$18:$A$22</c:f>
              <c:strCache>
                <c:ptCount val="5"/>
                <c:pt idx="0">
                  <c:v>Has Color option</c:v>
                </c:pt>
                <c:pt idx="1">
                  <c:v>Missing Color option</c:v>
                </c:pt>
                <c:pt idx="2">
                  <c:v>Has Size option</c:v>
                </c:pt>
                <c:pt idx="3">
                  <c:v>Missing Size option</c:v>
                </c:pt>
                <c:pt idx="4">
                  <c:v>No options (“Default Title”)</c:v>
                </c:pt>
              </c:strCache>
            </c:strRef>
          </c:cat>
          <c:val>
            <c:numRef>
              <c:f>Summary!$B$18:$B$22</c:f>
              <c:numCache>
                <c:formatCode>#,##0</c:formatCode>
                <c:ptCount val="5"/>
                <c:pt idx="0">
                  <c:v>176</c:v>
                </c:pt>
                <c:pt idx="1">
                  <c:v>92</c:v>
                </c:pt>
                <c:pt idx="2">
                  <c:v>9</c:v>
                </c:pt>
                <c:pt idx="3">
                  <c:v>259</c:v>
                </c:pt>
                <c:pt idx="4">
                  <c:v>70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9819-4E1C-ABA7-1FCBA1D05B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Active catalog: in stock vs out of stock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54823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C68-4882-9760-0F38C0E51117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C68-4882-9760-0F38C0E5111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Summary!$A$34:$A$35</c:f>
              <c:strCache>
                <c:ptCount val="2"/>
                <c:pt idx="0">
                  <c:v>In stock</c:v>
                </c:pt>
                <c:pt idx="1">
                  <c:v>Out of stock (still published)</c:v>
                </c:pt>
              </c:strCache>
            </c:strRef>
          </c:cat>
          <c:val>
            <c:numRef>
              <c:f>Summary!$B$34:$B$35</c:f>
              <c:numCache>
                <c:formatCode>#,##0</c:formatCode>
                <c:ptCount val="2"/>
                <c:pt idx="0">
                  <c:v>268</c:v>
                </c:pt>
                <c:pt idx="1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68-4882-9760-0F38C0E5111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How the Color option is spelled (active products)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54823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153-4582-8F9B-D7B32F726B97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153-4582-8F9B-D7B32F726B97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153-4582-8F9B-D7B32F726B9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Summary!$A$50:$A$52</c:f>
              <c:strCache>
                <c:ptCount val="3"/>
                <c:pt idx="0">
                  <c:v>“Color” (correct)</c:v>
                </c:pt>
                <c:pt idx="1">
                  <c:v>“COLOR”</c:v>
                </c:pt>
                <c:pt idx="2">
                  <c:v>Other variants</c:v>
                </c:pt>
              </c:strCache>
            </c:strRef>
          </c:cat>
          <c:val>
            <c:numRef>
              <c:f>Summary!$B$50:$B$52</c:f>
              <c:numCache>
                <c:formatCode>#,##0</c:formatCode>
                <c:ptCount val="3"/>
                <c:pt idx="0">
                  <c:v>179</c:v>
                </c:pt>
                <c:pt idx="1">
                  <c:v>113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53-4582-8F9B-D7B32F726B9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in-stock color values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1F3864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Summary!$A$66:$A$73</c:f>
              <c:strCache>
                <c:ptCount val="8"/>
                <c:pt idx="0">
                  <c:v>Clear</c:v>
                </c:pt>
                <c:pt idx="1">
                  <c:v>Jet</c:v>
                </c:pt>
                <c:pt idx="2">
                  <c:v>Aurora Borealis</c:v>
                </c:pt>
                <c:pt idx="3">
                  <c:v>Denim Ignite</c:v>
                </c:pt>
                <c:pt idx="4">
                  <c:v>Aqua Champagne</c:v>
                </c:pt>
                <c:pt idx="5">
                  <c:v>Verde</c:v>
                </c:pt>
                <c:pt idx="6">
                  <c:v>Light Colorado Topaz</c:v>
                </c:pt>
                <c:pt idx="7">
                  <c:v>Silvernight</c:v>
                </c:pt>
              </c:strCache>
            </c:strRef>
          </c:cat>
          <c:val>
            <c:numRef>
              <c:f>Summary!$B$66:$B$73</c:f>
              <c:numCache>
                <c:formatCode>#,##0</c:formatCode>
                <c:ptCount val="8"/>
                <c:pt idx="0">
                  <c:v>103</c:v>
                </c:pt>
                <c:pt idx="1">
                  <c:v>33</c:v>
                </c:pt>
                <c:pt idx="2">
                  <c:v>33</c:v>
                </c:pt>
                <c:pt idx="3">
                  <c:v>22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4A4-4F17-8360-50C0BF914B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Catalog age: active listings vs still in stock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Summary!$B$81</c:f>
              <c:strCache>
                <c:ptCount val="1"/>
                <c:pt idx="0">
                  <c:v>Active listings</c:v>
                </c:pt>
              </c:strCache>
            </c:strRef>
          </c:tx>
          <c:spPr>
            <a:solidFill>
              <a:srgbClr val="D9D9D9"/>
            </a:solidFill>
            <a:ln>
              <a:prstDash val="solid"/>
            </a:ln>
          </c:spPr>
          <c:invertIfNegative val="1"/>
          <c:cat>
            <c:strRef>
              <c:f>Summary!$A$82:$A$90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Summary!$B$82:$B$90</c:f>
              <c:numCache>
                <c:formatCode>#,##0</c:formatCode>
                <c:ptCount val="9"/>
                <c:pt idx="0">
                  <c:v>32</c:v>
                </c:pt>
                <c:pt idx="1">
                  <c:v>2</c:v>
                </c:pt>
                <c:pt idx="2">
                  <c:v>11</c:v>
                </c:pt>
                <c:pt idx="3">
                  <c:v>21</c:v>
                </c:pt>
                <c:pt idx="4">
                  <c:v>16</c:v>
                </c:pt>
                <c:pt idx="5">
                  <c:v>4</c:v>
                </c:pt>
                <c:pt idx="6">
                  <c:v>25</c:v>
                </c:pt>
                <c:pt idx="7">
                  <c:v>198</c:v>
                </c:pt>
                <c:pt idx="8">
                  <c:v>165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ABB-4E90-98D9-7800F735B6D4}"/>
            </c:ext>
          </c:extLst>
        </c:ser>
        <c:ser>
          <c:idx val="1"/>
          <c:order val="1"/>
          <c:tx>
            <c:strRef>
              <c:f>Summary!$C$81</c:f>
              <c:strCache>
                <c:ptCount val="1"/>
                <c:pt idx="0">
                  <c:v>Still in stock</c:v>
                </c:pt>
              </c:strCache>
            </c:strRef>
          </c:tx>
          <c:spPr>
            <a:solidFill>
              <a:srgbClr val="2E9BA6"/>
            </a:solidFill>
            <a:ln>
              <a:prstDash val="solid"/>
            </a:ln>
          </c:spPr>
          <c:invertIfNegative val="1"/>
          <c:cat>
            <c:strRef>
              <c:f>Summary!$A$82:$A$90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Summary!$C$82:$C$90</c:f>
              <c:numCache>
                <c:formatCode>#,##0</c:formatCode>
                <c:ptCount val="9"/>
                <c:pt idx="0">
                  <c:v>21</c:v>
                </c:pt>
                <c:pt idx="1">
                  <c:v>1</c:v>
                </c:pt>
                <c:pt idx="2">
                  <c:v>5</c:v>
                </c:pt>
                <c:pt idx="3">
                  <c:v>16</c:v>
                </c:pt>
                <c:pt idx="4">
                  <c:v>8</c:v>
                </c:pt>
                <c:pt idx="5">
                  <c:v>1</c:v>
                </c:pt>
                <c:pt idx="6">
                  <c:v>11</c:v>
                </c:pt>
                <c:pt idx="7">
                  <c:v>92</c:v>
                </c:pt>
                <c:pt idx="8">
                  <c:v>113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ABB-4E90-98D9-7800F735B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15</xdr:row>
      <xdr:rowOff>0</xdr:rowOff>
    </xdr:from>
    <xdr:ext cx="5400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31</xdr:row>
      <xdr:rowOff>0</xdr:rowOff>
    </xdr:from>
    <xdr:ext cx="396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47</xdr:row>
      <xdr:rowOff>0</xdr:rowOff>
    </xdr:from>
    <xdr:ext cx="396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63</xdr:row>
      <xdr:rowOff>0</xdr:rowOff>
    </xdr:from>
    <xdr:ext cx="5400000" cy="2592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79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M99"/>
  <sheetViews>
    <sheetView showGridLines="0" workbookViewId="0">
      <selection activeCell="M6" sqref="M6"/>
    </sheetView>
  </sheetViews>
  <sheetFormatPr defaultRowHeight="15" x14ac:dyDescent="0.25"/>
  <cols>
    <col min="1" max="1" width="30" customWidth="1"/>
    <col min="2" max="2" width="12" customWidth="1"/>
    <col min="3" max="13" width="11" customWidth="1"/>
  </cols>
  <sheetData>
    <row r="1" spans="1:13" ht="30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8" customHeight="1" x14ac:dyDescent="0.25">
      <c r="A2" s="32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 ht="26.1" customHeight="1" x14ac:dyDescent="0.25">
      <c r="A4" s="29" t="s">
        <v>2</v>
      </c>
      <c r="B4" s="18"/>
      <c r="D4" s="22" t="s">
        <v>3</v>
      </c>
      <c r="E4" s="18"/>
      <c r="G4" s="30" t="s">
        <v>4</v>
      </c>
      <c r="H4" s="21"/>
      <c r="J4" s="33" t="s">
        <v>5</v>
      </c>
      <c r="K4" s="18"/>
    </row>
    <row r="5" spans="1:13" ht="30" customHeight="1" x14ac:dyDescent="0.25">
      <c r="A5" s="19">
        <v>268</v>
      </c>
      <c r="B5" s="18"/>
      <c r="D5" s="31">
        <v>0.34328358208955218</v>
      </c>
      <c r="E5" s="18"/>
      <c r="G5" s="20">
        <v>0.96641791044776115</v>
      </c>
      <c r="H5" s="21"/>
      <c r="J5" s="24">
        <v>0.26119402985074619</v>
      </c>
      <c r="K5" s="18"/>
    </row>
    <row r="6" spans="1:13" x14ac:dyDescent="0.25">
      <c r="A6" s="25" t="s">
        <v>6</v>
      </c>
      <c r="B6" s="18"/>
      <c r="D6" s="26" t="s">
        <v>7</v>
      </c>
      <c r="E6" s="18"/>
      <c r="G6" s="28" t="s">
        <v>282</v>
      </c>
      <c r="H6" s="21"/>
      <c r="J6" s="27" t="s">
        <v>8</v>
      </c>
      <c r="K6" s="18"/>
    </row>
    <row r="8" spans="1:13" ht="20.100000000000001" customHeight="1" x14ac:dyDescent="0.25">
      <c r="A8" s="23" t="s">
        <v>9</v>
      </c>
      <c r="B8" s="18"/>
      <c r="C8" s="18"/>
      <c r="D8" s="18"/>
      <c r="E8" s="18"/>
    </row>
    <row r="9" spans="1:13" x14ac:dyDescent="0.25">
      <c r="A9" s="1" t="s">
        <v>10</v>
      </c>
      <c r="B9" s="1" t="s">
        <v>11</v>
      </c>
      <c r="C9" s="1" t="s">
        <v>12</v>
      </c>
    </row>
    <row r="10" spans="1:13" x14ac:dyDescent="0.25">
      <c r="A10" s="2" t="s">
        <v>13</v>
      </c>
      <c r="B10" s="3" t="s">
        <v>14</v>
      </c>
      <c r="C10" s="2" t="s">
        <v>15</v>
      </c>
    </row>
    <row r="11" spans="1:13" x14ac:dyDescent="0.25">
      <c r="A11" s="2" t="s">
        <v>16</v>
      </c>
      <c r="B11" s="3" t="s">
        <v>14</v>
      </c>
      <c r="C11" s="2" t="s">
        <v>15</v>
      </c>
    </row>
    <row r="12" spans="1:13" x14ac:dyDescent="0.25">
      <c r="A12" s="2" t="s">
        <v>17</v>
      </c>
      <c r="B12" s="3" t="s">
        <v>14</v>
      </c>
      <c r="C12" s="2" t="s">
        <v>18</v>
      </c>
    </row>
    <row r="13" spans="1:13" x14ac:dyDescent="0.25">
      <c r="A13" s="2" t="s">
        <v>19</v>
      </c>
      <c r="B13" s="4" t="s">
        <v>20</v>
      </c>
      <c r="C13" s="2" t="s">
        <v>283</v>
      </c>
    </row>
    <row r="14" spans="1:13" x14ac:dyDescent="0.25">
      <c r="A14" s="2" t="s">
        <v>21</v>
      </c>
      <c r="B14" s="4" t="s">
        <v>20</v>
      </c>
      <c r="C14" s="2" t="s">
        <v>22</v>
      </c>
    </row>
    <row r="16" spans="1:13" ht="20.100000000000001" customHeight="1" x14ac:dyDescent="0.25">
      <c r="A16" s="23" t="s">
        <v>23</v>
      </c>
      <c r="B16" s="18"/>
      <c r="C16" s="18"/>
      <c r="D16" s="18"/>
      <c r="E16" s="18"/>
    </row>
    <row r="17" spans="1:5" ht="25.5" x14ac:dyDescent="0.25">
      <c r="A17" s="1" t="s">
        <v>24</v>
      </c>
      <c r="B17" s="1" t="s">
        <v>25</v>
      </c>
      <c r="C17" s="1" t="s">
        <v>26</v>
      </c>
    </row>
    <row r="18" spans="1:5" x14ac:dyDescent="0.25">
      <c r="A18" s="2" t="s">
        <v>27</v>
      </c>
      <c r="B18" s="5">
        <v>176</v>
      </c>
      <c r="C18" s="6">
        <f>B18/268</f>
        <v>0.65671641791044777</v>
      </c>
    </row>
    <row r="19" spans="1:5" x14ac:dyDescent="0.25">
      <c r="A19" s="2" t="s">
        <v>28</v>
      </c>
      <c r="B19" s="5">
        <v>92</v>
      </c>
      <c r="C19" s="6">
        <f>B19/268</f>
        <v>0.34328358208955223</v>
      </c>
    </row>
    <row r="20" spans="1:5" x14ac:dyDescent="0.25">
      <c r="A20" s="2" t="s">
        <v>29</v>
      </c>
      <c r="B20" s="5">
        <v>9</v>
      </c>
      <c r="C20" s="6">
        <f>B20/268</f>
        <v>3.3582089552238806E-2</v>
      </c>
    </row>
    <row r="21" spans="1:5" x14ac:dyDescent="0.25">
      <c r="A21" s="2" t="s">
        <v>30</v>
      </c>
      <c r="B21" s="5">
        <v>259</v>
      </c>
      <c r="C21" s="6">
        <f>B21/268</f>
        <v>0.96641791044776115</v>
      </c>
    </row>
    <row r="22" spans="1:5" x14ac:dyDescent="0.25">
      <c r="A22" s="2" t="s">
        <v>31</v>
      </c>
      <c r="B22" s="5">
        <v>70</v>
      </c>
      <c r="C22" s="6">
        <f>B22/268</f>
        <v>0.26119402985074625</v>
      </c>
    </row>
    <row r="32" spans="1:5" ht="20.100000000000001" customHeight="1" x14ac:dyDescent="0.25">
      <c r="A32" s="23" t="s">
        <v>32</v>
      </c>
      <c r="B32" s="18"/>
      <c r="C32" s="18"/>
      <c r="D32" s="18"/>
      <c r="E32" s="18"/>
    </row>
    <row r="33" spans="1:5" x14ac:dyDescent="0.25">
      <c r="A33" s="1" t="s">
        <v>24</v>
      </c>
      <c r="B33" s="1" t="s">
        <v>25</v>
      </c>
      <c r="C33" s="1" t="s">
        <v>33</v>
      </c>
    </row>
    <row r="34" spans="1:5" x14ac:dyDescent="0.25">
      <c r="A34" s="2" t="s">
        <v>34</v>
      </c>
      <c r="B34" s="5">
        <v>268</v>
      </c>
      <c r="C34" s="6">
        <f>B34/474</f>
        <v>0.56540084388185652</v>
      </c>
    </row>
    <row r="35" spans="1:5" x14ac:dyDescent="0.25">
      <c r="A35" s="2" t="s">
        <v>35</v>
      </c>
      <c r="B35" s="5">
        <v>206</v>
      </c>
      <c r="C35" s="6">
        <f>B35/474</f>
        <v>0.43459915611814348</v>
      </c>
    </row>
    <row r="36" spans="1:5" x14ac:dyDescent="0.25">
      <c r="A36" s="7" t="s">
        <v>36</v>
      </c>
      <c r="B36" s="5">
        <v>474</v>
      </c>
      <c r="C36" s="6">
        <v>1</v>
      </c>
    </row>
    <row r="37" spans="1:5" x14ac:dyDescent="0.25">
      <c r="A37" s="2" t="s">
        <v>37</v>
      </c>
      <c r="B37" s="5">
        <v>375</v>
      </c>
      <c r="C37" s="2"/>
    </row>
    <row r="38" spans="1:5" x14ac:dyDescent="0.25">
      <c r="A38" s="8" t="s">
        <v>38</v>
      </c>
    </row>
    <row r="48" spans="1:5" ht="20.100000000000001" customHeight="1" x14ac:dyDescent="0.25">
      <c r="A48" s="23" t="s">
        <v>39</v>
      </c>
      <c r="B48" s="18"/>
      <c r="C48" s="18"/>
      <c r="D48" s="18"/>
      <c r="E48" s="18"/>
    </row>
    <row r="49" spans="1:5" x14ac:dyDescent="0.25">
      <c r="A49" s="1" t="s">
        <v>40</v>
      </c>
      <c r="B49" s="1" t="s">
        <v>25</v>
      </c>
      <c r="C49" s="1" t="s">
        <v>41</v>
      </c>
    </row>
    <row r="50" spans="1:5" x14ac:dyDescent="0.25">
      <c r="A50" s="2" t="s">
        <v>42</v>
      </c>
      <c r="B50" s="5">
        <v>179</v>
      </c>
      <c r="C50" s="6">
        <f>B50/293</f>
        <v>0.61092150170648463</v>
      </c>
    </row>
    <row r="51" spans="1:5" x14ac:dyDescent="0.25">
      <c r="A51" s="2" t="s">
        <v>43</v>
      </c>
      <c r="B51" s="5">
        <v>113</v>
      </c>
      <c r="C51" s="6">
        <f>B51/293</f>
        <v>0.38566552901023893</v>
      </c>
    </row>
    <row r="52" spans="1:5" x14ac:dyDescent="0.25">
      <c r="A52" s="2" t="s">
        <v>44</v>
      </c>
      <c r="B52" s="5">
        <v>1</v>
      </c>
      <c r="C52" s="6">
        <f>B52/293</f>
        <v>3.4129692832764505E-3</v>
      </c>
    </row>
    <row r="53" spans="1:5" x14ac:dyDescent="0.25">
      <c r="A53" s="8" t="s">
        <v>45</v>
      </c>
    </row>
    <row r="64" spans="1:5" ht="20.100000000000001" customHeight="1" x14ac:dyDescent="0.25">
      <c r="A64" s="23" t="s">
        <v>46</v>
      </c>
      <c r="B64" s="18"/>
      <c r="C64" s="18"/>
      <c r="D64" s="18"/>
      <c r="E64" s="18"/>
    </row>
    <row r="65" spans="1:5" ht="38.25" x14ac:dyDescent="0.25">
      <c r="A65" s="1" t="s">
        <v>47</v>
      </c>
      <c r="B65" s="1" t="s">
        <v>25</v>
      </c>
      <c r="C65" s="1" t="s">
        <v>48</v>
      </c>
    </row>
    <row r="66" spans="1:5" x14ac:dyDescent="0.25">
      <c r="A66" s="2" t="s">
        <v>49</v>
      </c>
      <c r="B66" s="5">
        <v>103</v>
      </c>
      <c r="C66" s="6">
        <f t="shared" ref="C66:C73" si="0">B66/176</f>
        <v>0.58522727272727271</v>
      </c>
    </row>
    <row r="67" spans="1:5" x14ac:dyDescent="0.25">
      <c r="A67" s="2" t="s">
        <v>50</v>
      </c>
      <c r="B67" s="5">
        <v>33</v>
      </c>
      <c r="C67" s="6">
        <f t="shared" si="0"/>
        <v>0.1875</v>
      </c>
    </row>
    <row r="68" spans="1:5" x14ac:dyDescent="0.25">
      <c r="A68" s="2" t="s">
        <v>51</v>
      </c>
      <c r="B68" s="5">
        <v>33</v>
      </c>
      <c r="C68" s="6">
        <f t="shared" si="0"/>
        <v>0.1875</v>
      </c>
    </row>
    <row r="69" spans="1:5" x14ac:dyDescent="0.25">
      <c r="A69" s="2" t="s">
        <v>52</v>
      </c>
      <c r="B69" s="5">
        <v>22</v>
      </c>
      <c r="C69" s="6">
        <f t="shared" si="0"/>
        <v>0.125</v>
      </c>
    </row>
    <row r="70" spans="1:5" x14ac:dyDescent="0.25">
      <c r="A70" s="2" t="s">
        <v>53</v>
      </c>
      <c r="B70" s="5">
        <v>21</v>
      </c>
      <c r="C70" s="6">
        <f t="shared" si="0"/>
        <v>0.11931818181818182</v>
      </c>
    </row>
    <row r="71" spans="1:5" x14ac:dyDescent="0.25">
      <c r="A71" s="2" t="s">
        <v>54</v>
      </c>
      <c r="B71" s="5">
        <v>21</v>
      </c>
      <c r="C71" s="6">
        <f t="shared" si="0"/>
        <v>0.11931818181818182</v>
      </c>
    </row>
    <row r="72" spans="1:5" x14ac:dyDescent="0.25">
      <c r="A72" s="2" t="s">
        <v>55</v>
      </c>
      <c r="B72" s="5">
        <v>21</v>
      </c>
      <c r="C72" s="6">
        <f t="shared" si="0"/>
        <v>0.11931818181818182</v>
      </c>
    </row>
    <row r="73" spans="1:5" x14ac:dyDescent="0.25">
      <c r="A73" s="2" t="s">
        <v>56</v>
      </c>
      <c r="B73" s="5">
        <v>20</v>
      </c>
      <c r="C73" s="6">
        <f t="shared" si="0"/>
        <v>0.11363636363636363</v>
      </c>
    </row>
    <row r="74" spans="1:5" x14ac:dyDescent="0.25">
      <c r="A74" s="9" t="s">
        <v>57</v>
      </c>
      <c r="B74" s="10">
        <v>256</v>
      </c>
      <c r="C74" s="2"/>
    </row>
    <row r="75" spans="1:5" ht="72.75" x14ac:dyDescent="0.25">
      <c r="A75" s="11" t="s">
        <v>58</v>
      </c>
    </row>
    <row r="80" spans="1:5" ht="20.100000000000001" customHeight="1" x14ac:dyDescent="0.25">
      <c r="A80" s="23" t="s">
        <v>59</v>
      </c>
      <c r="B80" s="18"/>
      <c r="C80" s="18"/>
      <c r="D80" s="18"/>
      <c r="E80" s="18"/>
    </row>
    <row r="81" spans="1:3" ht="25.5" x14ac:dyDescent="0.25">
      <c r="A81" s="1" t="s">
        <v>60</v>
      </c>
      <c r="B81" s="1" t="s">
        <v>61</v>
      </c>
      <c r="C81" s="1" t="s">
        <v>62</v>
      </c>
    </row>
    <row r="82" spans="1:3" x14ac:dyDescent="0.25">
      <c r="A82" s="2" t="s">
        <v>63</v>
      </c>
      <c r="B82" s="5">
        <v>32</v>
      </c>
      <c r="C82" s="5">
        <v>21</v>
      </c>
    </row>
    <row r="83" spans="1:3" x14ac:dyDescent="0.25">
      <c r="A83" s="2" t="s">
        <v>64</v>
      </c>
      <c r="B83" s="5">
        <v>2</v>
      </c>
      <c r="C83" s="5">
        <v>1</v>
      </c>
    </row>
    <row r="84" spans="1:3" x14ac:dyDescent="0.25">
      <c r="A84" s="2" t="s">
        <v>65</v>
      </c>
      <c r="B84" s="5">
        <v>11</v>
      </c>
      <c r="C84" s="5">
        <v>5</v>
      </c>
    </row>
    <row r="85" spans="1:3" x14ac:dyDescent="0.25">
      <c r="A85" s="2" t="s">
        <v>66</v>
      </c>
      <c r="B85" s="5">
        <v>21</v>
      </c>
      <c r="C85" s="5">
        <v>16</v>
      </c>
    </row>
    <row r="86" spans="1:3" x14ac:dyDescent="0.25">
      <c r="A86" s="2" t="s">
        <v>67</v>
      </c>
      <c r="B86" s="5">
        <v>16</v>
      </c>
      <c r="C86" s="5">
        <v>8</v>
      </c>
    </row>
    <row r="87" spans="1:3" x14ac:dyDescent="0.25">
      <c r="A87" s="2" t="s">
        <v>68</v>
      </c>
      <c r="B87" s="5">
        <v>4</v>
      </c>
      <c r="C87" s="5">
        <v>1</v>
      </c>
    </row>
    <row r="88" spans="1:3" x14ac:dyDescent="0.25">
      <c r="A88" s="2" t="s">
        <v>69</v>
      </c>
      <c r="B88" s="5">
        <v>25</v>
      </c>
      <c r="C88" s="5">
        <v>11</v>
      </c>
    </row>
    <row r="89" spans="1:3" x14ac:dyDescent="0.25">
      <c r="A89" s="2" t="s">
        <v>70</v>
      </c>
      <c r="B89" s="5">
        <v>198</v>
      </c>
      <c r="C89" s="5">
        <v>92</v>
      </c>
    </row>
    <row r="90" spans="1:3" x14ac:dyDescent="0.25">
      <c r="A90" s="2" t="s">
        <v>71</v>
      </c>
      <c r="B90" s="5">
        <v>165</v>
      </c>
      <c r="C90" s="5">
        <v>113</v>
      </c>
    </row>
    <row r="97" spans="1:5" ht="20.100000000000001" customHeight="1" x14ac:dyDescent="0.25">
      <c r="A97" s="23" t="s">
        <v>72</v>
      </c>
      <c r="B97" s="18"/>
      <c r="C97" s="18"/>
      <c r="D97" s="18"/>
      <c r="E97" s="18"/>
    </row>
    <row r="98" spans="1:5" ht="38.25" x14ac:dyDescent="0.25">
      <c r="A98" s="1" t="s">
        <v>73</v>
      </c>
      <c r="B98" s="1" t="s">
        <v>74</v>
      </c>
      <c r="C98" s="1" t="s">
        <v>75</v>
      </c>
      <c r="D98" s="1" t="s">
        <v>76</v>
      </c>
      <c r="E98" s="1" t="s">
        <v>77</v>
      </c>
    </row>
    <row r="99" spans="1:5" x14ac:dyDescent="0.25">
      <c r="A99" s="12">
        <v>5</v>
      </c>
      <c r="B99" s="13">
        <v>33</v>
      </c>
      <c r="C99" s="13">
        <v>48</v>
      </c>
      <c r="D99" s="13">
        <v>70</v>
      </c>
      <c r="E99" s="13">
        <v>258</v>
      </c>
    </row>
  </sheetData>
  <mergeCells count="21">
    <mergeCell ref="A97:E97"/>
    <mergeCell ref="A4:B4"/>
    <mergeCell ref="G4:H4"/>
    <mergeCell ref="D5:E5"/>
    <mergeCell ref="A2:M2"/>
    <mergeCell ref="A80:E80"/>
    <mergeCell ref="J4:K4"/>
    <mergeCell ref="A48:E48"/>
    <mergeCell ref="A64:E64"/>
    <mergeCell ref="A1:M1"/>
    <mergeCell ref="A5:B5"/>
    <mergeCell ref="G5:H5"/>
    <mergeCell ref="D4:E4"/>
    <mergeCell ref="A32:E32"/>
    <mergeCell ref="A8:E8"/>
    <mergeCell ref="J5:K5"/>
    <mergeCell ref="A6:B6"/>
    <mergeCell ref="D6:E6"/>
    <mergeCell ref="A16:E16"/>
    <mergeCell ref="J6:K6"/>
    <mergeCell ref="G6:H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showGridLines="0" workbookViewId="0">
      <pane ySplit="4" topLeftCell="A5" activePane="bottomLeft" state="frozen"/>
      <selection pane="bottomLeft" sqref="A1:J1"/>
    </sheetView>
  </sheetViews>
  <sheetFormatPr defaultRowHeight="15" x14ac:dyDescent="0.25"/>
  <cols>
    <col min="1" max="1" width="16" customWidth="1"/>
    <col min="2" max="3" width="10" customWidth="1"/>
    <col min="4" max="4" width="12" customWidth="1"/>
    <col min="5" max="5" width="10" customWidth="1"/>
    <col min="6" max="6" width="12" customWidth="1"/>
    <col min="7" max="7" width="13" customWidth="1"/>
    <col min="8" max="9" width="11" customWidth="1"/>
    <col min="10" max="10" width="38" customWidth="1"/>
  </cols>
  <sheetData>
    <row r="1" spans="1:10" ht="30" customHeight="1" x14ac:dyDescent="0.25">
      <c r="A1" s="17" t="s">
        <v>78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8" customHeight="1" x14ac:dyDescent="0.25">
      <c r="A2" s="32" t="s">
        <v>79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25.5" x14ac:dyDescent="0.25">
      <c r="A4" s="1" t="s">
        <v>80</v>
      </c>
      <c r="B4" s="1" t="s">
        <v>81</v>
      </c>
      <c r="C4" s="1" t="s">
        <v>82</v>
      </c>
      <c r="D4" s="1" t="s">
        <v>83</v>
      </c>
      <c r="E4" s="1" t="s">
        <v>84</v>
      </c>
      <c r="F4" s="1" t="s">
        <v>85</v>
      </c>
      <c r="G4" s="1" t="s">
        <v>86</v>
      </c>
      <c r="H4" s="1" t="s">
        <v>87</v>
      </c>
      <c r="I4" s="1" t="s">
        <v>88</v>
      </c>
      <c r="J4" s="1" t="s">
        <v>89</v>
      </c>
    </row>
    <row r="5" spans="1:10" x14ac:dyDescent="0.25">
      <c r="A5" s="2" t="s">
        <v>90</v>
      </c>
      <c r="B5" s="5">
        <v>116</v>
      </c>
      <c r="C5" s="5">
        <v>65</v>
      </c>
      <c r="D5" s="6">
        <f t="shared" ref="D5:D17" si="0">C5/B5</f>
        <v>0.56034482758620685</v>
      </c>
      <c r="E5" s="5">
        <v>7</v>
      </c>
      <c r="F5" s="6">
        <f t="shared" ref="F5:F17" si="1">E5/B5</f>
        <v>6.0344827586206899E-2</v>
      </c>
      <c r="G5" s="5">
        <v>75</v>
      </c>
      <c r="H5" s="5">
        <v>17</v>
      </c>
      <c r="I5" s="5">
        <v>201</v>
      </c>
      <c r="J5" s="2"/>
    </row>
    <row r="6" spans="1:10" x14ac:dyDescent="0.25">
      <c r="A6" s="2" t="s">
        <v>91</v>
      </c>
      <c r="B6" s="5">
        <v>66</v>
      </c>
      <c r="C6" s="5">
        <v>59</v>
      </c>
      <c r="D6" s="6">
        <f t="shared" si="0"/>
        <v>0.89393939393939392</v>
      </c>
      <c r="E6" s="5">
        <v>0</v>
      </c>
      <c r="F6" s="6">
        <f t="shared" si="1"/>
        <v>0</v>
      </c>
      <c r="G6" s="5">
        <v>7</v>
      </c>
      <c r="H6" s="5">
        <v>0</v>
      </c>
      <c r="I6" s="5">
        <v>102</v>
      </c>
      <c r="J6" s="2"/>
    </row>
    <row r="7" spans="1:10" x14ac:dyDescent="0.25">
      <c r="A7" s="2" t="s">
        <v>92</v>
      </c>
      <c r="B7" s="5">
        <v>31</v>
      </c>
      <c r="C7" s="5">
        <v>13</v>
      </c>
      <c r="D7" s="6">
        <f t="shared" si="0"/>
        <v>0.41935483870967744</v>
      </c>
      <c r="E7" s="5">
        <v>0</v>
      </c>
      <c r="F7" s="6">
        <f t="shared" si="1"/>
        <v>0</v>
      </c>
      <c r="G7" s="5">
        <v>14</v>
      </c>
      <c r="H7" s="5">
        <v>6</v>
      </c>
      <c r="I7" s="5">
        <v>52</v>
      </c>
      <c r="J7" s="2"/>
    </row>
    <row r="8" spans="1:10" x14ac:dyDescent="0.25">
      <c r="A8" s="2" t="s">
        <v>93</v>
      </c>
      <c r="B8" s="5">
        <v>19</v>
      </c>
      <c r="C8" s="5">
        <v>14</v>
      </c>
      <c r="D8" s="6">
        <f t="shared" si="0"/>
        <v>0.73684210526315785</v>
      </c>
      <c r="E8" s="5">
        <v>0</v>
      </c>
      <c r="F8" s="6">
        <f t="shared" si="1"/>
        <v>0</v>
      </c>
      <c r="G8" s="5">
        <v>2</v>
      </c>
      <c r="H8" s="5">
        <v>0</v>
      </c>
      <c r="I8" s="5">
        <v>38</v>
      </c>
      <c r="J8" s="2"/>
    </row>
    <row r="9" spans="1:10" x14ac:dyDescent="0.25">
      <c r="A9" s="2" t="s">
        <v>94</v>
      </c>
      <c r="B9" s="5">
        <v>15</v>
      </c>
      <c r="C9" s="5">
        <v>12</v>
      </c>
      <c r="D9" s="6">
        <f t="shared" si="0"/>
        <v>0.8</v>
      </c>
      <c r="E9" s="5">
        <v>1</v>
      </c>
      <c r="F9" s="6">
        <f t="shared" si="1"/>
        <v>6.6666666666666666E-2</v>
      </c>
      <c r="G9" s="5">
        <v>0</v>
      </c>
      <c r="H9" s="5">
        <v>0</v>
      </c>
      <c r="I9" s="5">
        <v>50</v>
      </c>
      <c r="J9" s="2"/>
    </row>
    <row r="10" spans="1:10" x14ac:dyDescent="0.25">
      <c r="A10" s="2" t="s">
        <v>95</v>
      </c>
      <c r="B10" s="5">
        <v>13</v>
      </c>
      <c r="C10" s="5">
        <v>10</v>
      </c>
      <c r="D10" s="6">
        <f t="shared" si="0"/>
        <v>0.76923076923076927</v>
      </c>
      <c r="E10" s="5">
        <v>1</v>
      </c>
      <c r="F10" s="6">
        <f t="shared" si="1"/>
        <v>7.6923076923076927E-2</v>
      </c>
      <c r="G10" s="5">
        <v>7</v>
      </c>
      <c r="H10" s="5">
        <v>0</v>
      </c>
      <c r="I10" s="5">
        <v>16</v>
      </c>
      <c r="J10" s="2"/>
    </row>
    <row r="11" spans="1:10" x14ac:dyDescent="0.25">
      <c r="A11" s="2" t="s">
        <v>96</v>
      </c>
      <c r="B11" s="5">
        <v>2</v>
      </c>
      <c r="C11" s="5">
        <v>1</v>
      </c>
      <c r="D11" s="6">
        <f t="shared" si="0"/>
        <v>0.5</v>
      </c>
      <c r="E11" s="5">
        <v>0</v>
      </c>
      <c r="F11" s="6">
        <f t="shared" si="1"/>
        <v>0</v>
      </c>
      <c r="G11" s="5">
        <v>2</v>
      </c>
      <c r="H11" s="5">
        <v>0</v>
      </c>
      <c r="I11" s="5">
        <v>4</v>
      </c>
      <c r="J11" s="2"/>
    </row>
    <row r="12" spans="1:10" x14ac:dyDescent="0.25">
      <c r="A12" s="2" t="s">
        <v>97</v>
      </c>
      <c r="B12" s="5">
        <v>1</v>
      </c>
      <c r="C12" s="5">
        <v>0</v>
      </c>
      <c r="D12" s="6">
        <f t="shared" si="0"/>
        <v>0</v>
      </c>
      <c r="E12" s="5">
        <v>0</v>
      </c>
      <c r="F12" s="6">
        <f t="shared" si="1"/>
        <v>0</v>
      </c>
      <c r="G12" s="5">
        <v>0</v>
      </c>
      <c r="H12" s="5">
        <v>0</v>
      </c>
      <c r="I12" s="5">
        <v>2</v>
      </c>
      <c r="J12" s="2"/>
    </row>
    <row r="13" spans="1:10" x14ac:dyDescent="0.25">
      <c r="A13" s="2" t="s">
        <v>98</v>
      </c>
      <c r="B13" s="5">
        <v>1</v>
      </c>
      <c r="C13" s="5">
        <v>0</v>
      </c>
      <c r="D13" s="6">
        <f t="shared" si="0"/>
        <v>0</v>
      </c>
      <c r="E13" s="5">
        <v>0</v>
      </c>
      <c r="F13" s="6">
        <f t="shared" si="1"/>
        <v>0</v>
      </c>
      <c r="G13" s="5">
        <v>0</v>
      </c>
      <c r="H13" s="5">
        <v>0</v>
      </c>
      <c r="I13" s="5">
        <v>1</v>
      </c>
      <c r="J13" s="2"/>
    </row>
    <row r="14" spans="1:10" x14ac:dyDescent="0.25">
      <c r="A14" s="2" t="s">
        <v>99</v>
      </c>
      <c r="B14" s="5">
        <v>1</v>
      </c>
      <c r="C14" s="5">
        <v>0</v>
      </c>
      <c r="D14" s="6">
        <f t="shared" si="0"/>
        <v>0</v>
      </c>
      <c r="E14" s="5">
        <v>0</v>
      </c>
      <c r="F14" s="6">
        <f t="shared" si="1"/>
        <v>0</v>
      </c>
      <c r="G14" s="5">
        <v>1</v>
      </c>
      <c r="H14" s="5">
        <v>0</v>
      </c>
      <c r="I14" s="5">
        <v>1</v>
      </c>
      <c r="J14" s="2"/>
    </row>
    <row r="15" spans="1:10" x14ac:dyDescent="0.25">
      <c r="A15" s="2" t="s">
        <v>100</v>
      </c>
      <c r="B15" s="5">
        <v>1</v>
      </c>
      <c r="C15" s="5">
        <v>1</v>
      </c>
      <c r="D15" s="6">
        <f t="shared" si="0"/>
        <v>1</v>
      </c>
      <c r="E15" s="5">
        <v>0</v>
      </c>
      <c r="F15" s="6">
        <f t="shared" si="1"/>
        <v>0</v>
      </c>
      <c r="G15" s="5">
        <v>0</v>
      </c>
      <c r="H15" s="5">
        <v>0</v>
      </c>
      <c r="I15" s="5">
        <v>1</v>
      </c>
      <c r="J15" s="2"/>
    </row>
    <row r="16" spans="1:10" x14ac:dyDescent="0.25">
      <c r="A16" s="2" t="s">
        <v>101</v>
      </c>
      <c r="B16" s="5">
        <v>1</v>
      </c>
      <c r="C16" s="5">
        <v>1</v>
      </c>
      <c r="D16" s="6">
        <f t="shared" si="0"/>
        <v>1</v>
      </c>
      <c r="E16" s="5">
        <v>0</v>
      </c>
      <c r="F16" s="6">
        <f t="shared" si="1"/>
        <v>0</v>
      </c>
      <c r="G16" s="5">
        <v>0</v>
      </c>
      <c r="H16" s="5">
        <v>0</v>
      </c>
      <c r="I16" s="5">
        <v>1</v>
      </c>
      <c r="J16" s="2"/>
    </row>
    <row r="17" spans="1:10" x14ac:dyDescent="0.25">
      <c r="A17" s="2" t="s">
        <v>102</v>
      </c>
      <c r="B17" s="5">
        <v>1</v>
      </c>
      <c r="C17" s="5">
        <v>0</v>
      </c>
      <c r="D17" s="6">
        <f t="shared" si="0"/>
        <v>0</v>
      </c>
      <c r="E17" s="5">
        <v>0</v>
      </c>
      <c r="F17" s="6">
        <f t="shared" si="1"/>
        <v>0</v>
      </c>
      <c r="G17" s="5">
        <v>0</v>
      </c>
      <c r="H17" s="5">
        <v>0</v>
      </c>
      <c r="I17" s="5">
        <v>1</v>
      </c>
      <c r="J17" s="2"/>
    </row>
    <row r="18" spans="1:10" x14ac:dyDescent="0.25">
      <c r="A18" s="2" t="s">
        <v>103</v>
      </c>
      <c r="B18" s="5">
        <v>0</v>
      </c>
      <c r="C18" s="5">
        <v>0</v>
      </c>
      <c r="D18" s="6">
        <v>0</v>
      </c>
      <c r="E18" s="5">
        <v>0</v>
      </c>
      <c r="F18" s="6">
        <v>0</v>
      </c>
      <c r="G18" s="5">
        <v>0</v>
      </c>
      <c r="H18" s="5">
        <v>0</v>
      </c>
      <c r="I18" s="5">
        <v>3</v>
      </c>
      <c r="J18" s="2"/>
    </row>
    <row r="19" spans="1:10" x14ac:dyDescent="0.25">
      <c r="A19" s="2" t="s">
        <v>104</v>
      </c>
      <c r="B19" s="5">
        <v>0</v>
      </c>
      <c r="C19" s="5">
        <v>0</v>
      </c>
      <c r="D19" s="6">
        <v>0</v>
      </c>
      <c r="E19" s="5">
        <v>0</v>
      </c>
      <c r="F19" s="6">
        <v>0</v>
      </c>
      <c r="G19" s="5">
        <v>0</v>
      </c>
      <c r="H19" s="5">
        <v>0</v>
      </c>
      <c r="I19" s="5">
        <v>1</v>
      </c>
      <c r="J19" s="2"/>
    </row>
  </sheetData>
  <mergeCells count="2">
    <mergeCell ref="A1:J1"/>
    <mergeCell ref="A2:J2"/>
  </mergeCells>
  <conditionalFormatting sqref="D5:D19">
    <cfRule type="dataBar" priority="1">
      <dataBar>
        <cfvo type="num" val="0"/>
        <cfvo type="num" val="1"/>
        <color rgb="FF2E9BA6"/>
      </dataBar>
    </cfRule>
  </conditionalFormatting>
  <conditionalFormatting sqref="F5:F19">
    <cfRule type="dataBar" priority="2">
      <dataBar>
        <cfvo type="num" val="0"/>
        <cfvo type="num" val="1"/>
        <color rgb="FF2E9BA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showGridLines="0" workbookViewId="0">
      <pane ySplit="4" topLeftCell="A5" activePane="bottomLeft" state="frozen"/>
      <selection pane="bottomLeft" activeCell="E38" sqref="E38"/>
    </sheetView>
  </sheetViews>
  <sheetFormatPr defaultRowHeight="15" x14ac:dyDescent="0.25"/>
  <cols>
    <col min="1" max="1" width="18" customWidth="1"/>
    <col min="2" max="2" width="14" customWidth="1"/>
    <col min="3" max="3" width="10" customWidth="1"/>
    <col min="4" max="4" width="13" customWidth="1"/>
    <col min="5" max="5" width="46" customWidth="1"/>
    <col min="6" max="6" width="40" customWidth="1"/>
  </cols>
  <sheetData>
    <row r="1" spans="1:7" ht="30" customHeight="1" x14ac:dyDescent="0.25">
      <c r="A1" s="17" t="s">
        <v>105</v>
      </c>
      <c r="B1" s="18"/>
      <c r="C1" s="18"/>
      <c r="D1" s="18"/>
      <c r="E1" s="18"/>
      <c r="F1" s="18"/>
      <c r="G1" s="18"/>
    </row>
    <row r="2" spans="1:7" ht="18" customHeight="1" x14ac:dyDescent="0.25">
      <c r="A2" s="32" t="s">
        <v>106</v>
      </c>
      <c r="B2" s="18"/>
      <c r="C2" s="18"/>
      <c r="D2" s="18"/>
      <c r="E2" s="18"/>
      <c r="F2" s="18"/>
      <c r="G2" s="18"/>
    </row>
    <row r="4" spans="1:7" ht="25.5" x14ac:dyDescent="0.25">
      <c r="A4" s="1" t="s">
        <v>107</v>
      </c>
      <c r="B4" s="1" t="s">
        <v>108</v>
      </c>
      <c r="C4" s="1" t="s">
        <v>81</v>
      </c>
      <c r="D4" s="1" t="s">
        <v>109</v>
      </c>
      <c r="E4" s="1" t="s">
        <v>110</v>
      </c>
      <c r="F4" s="1" t="s">
        <v>111</v>
      </c>
    </row>
    <row r="5" spans="1:7" x14ac:dyDescent="0.25">
      <c r="A5" s="2" t="s">
        <v>17</v>
      </c>
      <c r="B5" s="5">
        <v>293</v>
      </c>
      <c r="C5" s="5">
        <v>176</v>
      </c>
      <c r="D5" s="5">
        <v>308</v>
      </c>
      <c r="E5" s="2" t="s">
        <v>112</v>
      </c>
      <c r="F5" s="2" t="s">
        <v>113</v>
      </c>
    </row>
    <row r="6" spans="1:7" x14ac:dyDescent="0.25">
      <c r="A6" s="2" t="s">
        <v>19</v>
      </c>
      <c r="B6" s="5">
        <v>10</v>
      </c>
      <c r="C6" s="5">
        <v>9</v>
      </c>
      <c r="D6" s="5">
        <v>14</v>
      </c>
      <c r="E6" s="2" t="s">
        <v>114</v>
      </c>
      <c r="F6" s="2" t="s">
        <v>115</v>
      </c>
    </row>
    <row r="7" spans="1:7" x14ac:dyDescent="0.25">
      <c r="A7" s="2" t="s">
        <v>116</v>
      </c>
      <c r="B7" s="5">
        <v>2</v>
      </c>
      <c r="C7" s="5">
        <v>2</v>
      </c>
      <c r="D7" s="5">
        <v>9</v>
      </c>
      <c r="E7" s="2" t="s">
        <v>117</v>
      </c>
      <c r="F7" s="2" t="s">
        <v>118</v>
      </c>
    </row>
    <row r="8" spans="1:7" x14ac:dyDescent="0.25">
      <c r="A8" s="2" t="s">
        <v>119</v>
      </c>
      <c r="B8" s="5">
        <v>1</v>
      </c>
      <c r="C8" s="5">
        <v>0</v>
      </c>
      <c r="D8" s="5">
        <v>2</v>
      </c>
      <c r="E8" s="2" t="s">
        <v>120</v>
      </c>
      <c r="F8" s="2" t="s">
        <v>118</v>
      </c>
    </row>
    <row r="9" spans="1:7" x14ac:dyDescent="0.25">
      <c r="A9" s="2" t="s">
        <v>121</v>
      </c>
      <c r="B9" s="5">
        <v>1</v>
      </c>
      <c r="C9" s="5">
        <v>1</v>
      </c>
      <c r="D9" s="5">
        <v>22</v>
      </c>
      <c r="E9" s="2" t="s">
        <v>122</v>
      </c>
      <c r="F9" s="2" t="s">
        <v>118</v>
      </c>
    </row>
    <row r="10" spans="1:7" x14ac:dyDescent="0.25">
      <c r="A10" s="2" t="s">
        <v>123</v>
      </c>
      <c r="B10" s="5">
        <v>1</v>
      </c>
      <c r="C10" s="5">
        <v>1</v>
      </c>
      <c r="D10" s="5">
        <v>11</v>
      </c>
      <c r="E10" s="2" t="s">
        <v>124</v>
      </c>
      <c r="F10" s="2" t="s">
        <v>118</v>
      </c>
    </row>
    <row r="11" spans="1:7" x14ac:dyDescent="0.25">
      <c r="A11" s="2" t="s">
        <v>125</v>
      </c>
      <c r="B11" s="5">
        <v>1</v>
      </c>
      <c r="C11" s="5">
        <v>1</v>
      </c>
      <c r="D11" s="5">
        <v>13</v>
      </c>
      <c r="E11" s="2" t="s">
        <v>126</v>
      </c>
      <c r="F11" s="2" t="s">
        <v>118</v>
      </c>
    </row>
    <row r="12" spans="1:7" x14ac:dyDescent="0.25">
      <c r="A12" s="2" t="s">
        <v>127</v>
      </c>
      <c r="B12" s="5">
        <v>1</v>
      </c>
      <c r="C12" s="5">
        <v>1</v>
      </c>
      <c r="D12" s="5">
        <v>7</v>
      </c>
      <c r="E12" s="2" t="s">
        <v>128</v>
      </c>
      <c r="F12" s="2" t="s">
        <v>118</v>
      </c>
    </row>
    <row r="13" spans="1:7" x14ac:dyDescent="0.25">
      <c r="A13" s="2" t="s">
        <v>129</v>
      </c>
      <c r="B13" s="5">
        <v>1</v>
      </c>
      <c r="C13" s="5">
        <v>0</v>
      </c>
      <c r="D13" s="5">
        <v>1</v>
      </c>
      <c r="E13" s="2" t="s">
        <v>130</v>
      </c>
      <c r="F13" s="2" t="s">
        <v>118</v>
      </c>
    </row>
    <row r="14" spans="1:7" x14ac:dyDescent="0.25">
      <c r="A14" s="2" t="s">
        <v>131</v>
      </c>
      <c r="B14" s="5">
        <v>1</v>
      </c>
      <c r="C14" s="5">
        <v>1</v>
      </c>
      <c r="D14" s="5">
        <v>5</v>
      </c>
      <c r="E14" s="2" t="s">
        <v>132</v>
      </c>
      <c r="F14" s="2" t="s">
        <v>118</v>
      </c>
    </row>
    <row r="15" spans="1:7" x14ac:dyDescent="0.25">
      <c r="A15" s="2" t="s">
        <v>133</v>
      </c>
      <c r="B15" s="5">
        <v>1</v>
      </c>
      <c r="C15" s="5">
        <v>0</v>
      </c>
      <c r="D15" s="5">
        <v>1</v>
      </c>
      <c r="E15" s="2" t="s">
        <v>134</v>
      </c>
      <c r="F15" s="2" t="s">
        <v>118</v>
      </c>
    </row>
    <row r="16" spans="1:7" x14ac:dyDescent="0.25">
      <c r="A16" s="2" t="s">
        <v>135</v>
      </c>
      <c r="B16" s="5">
        <v>1</v>
      </c>
      <c r="C16" s="5">
        <v>1</v>
      </c>
      <c r="D16" s="5">
        <v>9</v>
      </c>
      <c r="E16" s="2" t="s">
        <v>136</v>
      </c>
      <c r="F16" s="2" t="s">
        <v>118</v>
      </c>
    </row>
    <row r="17" spans="1:6" x14ac:dyDescent="0.25">
      <c r="A17" s="2" t="s">
        <v>137</v>
      </c>
      <c r="B17" s="5">
        <v>1</v>
      </c>
      <c r="C17" s="5">
        <v>1</v>
      </c>
      <c r="D17" s="5">
        <v>2</v>
      </c>
      <c r="E17" s="2" t="s">
        <v>138</v>
      </c>
      <c r="F17" s="2" t="s">
        <v>118</v>
      </c>
    </row>
    <row r="18" spans="1:6" x14ac:dyDescent="0.25">
      <c r="A18" s="2" t="s">
        <v>139</v>
      </c>
      <c r="B18" s="5">
        <v>1</v>
      </c>
      <c r="C18" s="5">
        <v>0</v>
      </c>
      <c r="D18" s="5">
        <v>2</v>
      </c>
      <c r="E18" s="2" t="s">
        <v>140</v>
      </c>
      <c r="F18" s="2" t="s">
        <v>118</v>
      </c>
    </row>
    <row r="19" spans="1:6" x14ac:dyDescent="0.25">
      <c r="A19" s="2" t="s">
        <v>141</v>
      </c>
      <c r="B19" s="5">
        <v>1</v>
      </c>
      <c r="C19" s="5">
        <v>1</v>
      </c>
      <c r="D19" s="5">
        <v>6</v>
      </c>
      <c r="E19" s="2" t="s">
        <v>142</v>
      </c>
      <c r="F19" s="2" t="s">
        <v>118</v>
      </c>
    </row>
    <row r="20" spans="1:6" x14ac:dyDescent="0.25">
      <c r="A20" s="2" t="s">
        <v>143</v>
      </c>
      <c r="B20" s="5">
        <v>1</v>
      </c>
      <c r="C20" s="5">
        <v>0</v>
      </c>
      <c r="D20" s="5">
        <v>2</v>
      </c>
      <c r="E20" s="2" t="s">
        <v>144</v>
      </c>
      <c r="F20" s="2" t="s">
        <v>118</v>
      </c>
    </row>
    <row r="21" spans="1:6" x14ac:dyDescent="0.25">
      <c r="A21" s="2" t="s">
        <v>145</v>
      </c>
      <c r="B21" s="5">
        <v>1</v>
      </c>
      <c r="C21" s="5">
        <v>1</v>
      </c>
      <c r="D21" s="5">
        <v>1</v>
      </c>
      <c r="E21" s="2" t="s">
        <v>146</v>
      </c>
      <c r="F21" s="2" t="s">
        <v>118</v>
      </c>
    </row>
    <row r="22" spans="1:6" x14ac:dyDescent="0.25">
      <c r="A22" s="2" t="s">
        <v>147</v>
      </c>
      <c r="B22" s="5">
        <v>1</v>
      </c>
      <c r="C22" s="5">
        <v>1</v>
      </c>
      <c r="D22" s="5">
        <v>12</v>
      </c>
      <c r="E22" s="2" t="s">
        <v>148</v>
      </c>
      <c r="F22" s="2" t="s">
        <v>118</v>
      </c>
    </row>
    <row r="23" spans="1:6" x14ac:dyDescent="0.25">
      <c r="A23" s="2" t="s">
        <v>149</v>
      </c>
      <c r="B23" s="5">
        <v>1</v>
      </c>
      <c r="C23" s="5">
        <v>1</v>
      </c>
      <c r="D23" s="5">
        <v>10</v>
      </c>
      <c r="E23" s="2" t="s">
        <v>150</v>
      </c>
      <c r="F23" s="2" t="s">
        <v>118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4"/>
  <sheetViews>
    <sheetView showGridLines="0" workbookViewId="0">
      <pane ySplit="4" topLeftCell="A50" activePane="bottomLeft" state="frozen"/>
      <selection pane="bottomLeft" sqref="A1:E1"/>
    </sheetView>
  </sheetViews>
  <sheetFormatPr defaultRowHeight="15" x14ac:dyDescent="0.25"/>
  <cols>
    <col min="1" max="1" width="7" customWidth="1"/>
    <col min="2" max="2" width="26" customWidth="1"/>
    <col min="3" max="3" width="16" customWidth="1"/>
    <col min="4" max="4" width="24" customWidth="1"/>
  </cols>
  <sheetData>
    <row r="1" spans="1:5" ht="30" customHeight="1" x14ac:dyDescent="0.25">
      <c r="A1" s="17" t="s">
        <v>151</v>
      </c>
      <c r="B1" s="18"/>
      <c r="C1" s="18"/>
      <c r="D1" s="18"/>
      <c r="E1" s="18"/>
    </row>
    <row r="2" spans="1:5" ht="18" customHeight="1" x14ac:dyDescent="0.25">
      <c r="A2" s="32" t="s">
        <v>152</v>
      </c>
      <c r="B2" s="18"/>
      <c r="C2" s="18"/>
      <c r="D2" s="18"/>
      <c r="E2" s="18"/>
    </row>
    <row r="4" spans="1:5" ht="25.5" x14ac:dyDescent="0.25">
      <c r="A4" s="1" t="s">
        <v>153</v>
      </c>
      <c r="B4" s="1" t="s">
        <v>154</v>
      </c>
      <c r="C4" s="1" t="s">
        <v>155</v>
      </c>
      <c r="D4" s="1" t="s">
        <v>156</v>
      </c>
    </row>
    <row r="5" spans="1:5" x14ac:dyDescent="0.25">
      <c r="A5" s="2">
        <v>1</v>
      </c>
      <c r="B5" s="2" t="s">
        <v>49</v>
      </c>
      <c r="C5" s="5">
        <v>103</v>
      </c>
      <c r="D5" s="6">
        <f t="shared" ref="D5:D36" si="0">C5/176</f>
        <v>0.58522727272727271</v>
      </c>
    </row>
    <row r="6" spans="1:5" x14ac:dyDescent="0.25">
      <c r="A6" s="2">
        <v>2</v>
      </c>
      <c r="B6" s="2" t="s">
        <v>50</v>
      </c>
      <c r="C6" s="5">
        <v>33</v>
      </c>
      <c r="D6" s="6">
        <f t="shared" si="0"/>
        <v>0.1875</v>
      </c>
    </row>
    <row r="7" spans="1:5" x14ac:dyDescent="0.25">
      <c r="A7" s="2">
        <v>3</v>
      </c>
      <c r="B7" s="2" t="s">
        <v>51</v>
      </c>
      <c r="C7" s="5">
        <v>33</v>
      </c>
      <c r="D7" s="6">
        <f t="shared" si="0"/>
        <v>0.1875</v>
      </c>
    </row>
    <row r="8" spans="1:5" x14ac:dyDescent="0.25">
      <c r="A8" s="2">
        <v>4</v>
      </c>
      <c r="B8" s="2" t="s">
        <v>52</v>
      </c>
      <c r="C8" s="5">
        <v>22</v>
      </c>
      <c r="D8" s="6">
        <f t="shared" si="0"/>
        <v>0.125</v>
      </c>
    </row>
    <row r="9" spans="1:5" x14ac:dyDescent="0.25">
      <c r="A9" s="2">
        <v>5</v>
      </c>
      <c r="B9" s="2" t="s">
        <v>53</v>
      </c>
      <c r="C9" s="5">
        <v>21</v>
      </c>
      <c r="D9" s="6">
        <f t="shared" si="0"/>
        <v>0.11931818181818182</v>
      </c>
    </row>
    <row r="10" spans="1:5" x14ac:dyDescent="0.25">
      <c r="A10" s="2">
        <v>6</v>
      </c>
      <c r="B10" s="2" t="s">
        <v>54</v>
      </c>
      <c r="C10" s="5">
        <v>21</v>
      </c>
      <c r="D10" s="6">
        <f t="shared" si="0"/>
        <v>0.11931818181818182</v>
      </c>
    </row>
    <row r="11" spans="1:5" x14ac:dyDescent="0.25">
      <c r="A11" s="2">
        <v>7</v>
      </c>
      <c r="B11" s="2" t="s">
        <v>55</v>
      </c>
      <c r="C11" s="5">
        <v>21</v>
      </c>
      <c r="D11" s="6">
        <f t="shared" si="0"/>
        <v>0.11931818181818182</v>
      </c>
    </row>
    <row r="12" spans="1:5" x14ac:dyDescent="0.25">
      <c r="A12" s="2">
        <v>8</v>
      </c>
      <c r="B12" s="2" t="s">
        <v>56</v>
      </c>
      <c r="C12" s="5">
        <v>20</v>
      </c>
      <c r="D12" s="6">
        <f t="shared" si="0"/>
        <v>0.11363636363636363</v>
      </c>
    </row>
    <row r="13" spans="1:5" x14ac:dyDescent="0.25">
      <c r="A13" s="2">
        <v>9</v>
      </c>
      <c r="B13" s="2" t="s">
        <v>157</v>
      </c>
      <c r="C13" s="5">
        <v>19</v>
      </c>
      <c r="D13" s="6">
        <f t="shared" si="0"/>
        <v>0.10795454545454546</v>
      </c>
    </row>
    <row r="14" spans="1:5" x14ac:dyDescent="0.25">
      <c r="A14" s="2">
        <v>10</v>
      </c>
      <c r="B14" s="2" t="s">
        <v>158</v>
      </c>
      <c r="C14" s="5">
        <v>17</v>
      </c>
      <c r="D14" s="6">
        <f t="shared" si="0"/>
        <v>9.6590909090909088E-2</v>
      </c>
    </row>
    <row r="15" spans="1:5" x14ac:dyDescent="0.25">
      <c r="A15" s="2">
        <v>11</v>
      </c>
      <c r="B15" s="2" t="s">
        <v>159</v>
      </c>
      <c r="C15" s="5">
        <v>16</v>
      </c>
      <c r="D15" s="6">
        <f t="shared" si="0"/>
        <v>9.0909090909090912E-2</v>
      </c>
    </row>
    <row r="16" spans="1:5" x14ac:dyDescent="0.25">
      <c r="A16" s="2">
        <v>12</v>
      </c>
      <c r="B16" s="2" t="s">
        <v>160</v>
      </c>
      <c r="C16" s="5">
        <v>16</v>
      </c>
      <c r="D16" s="6">
        <f t="shared" si="0"/>
        <v>9.0909090909090912E-2</v>
      </c>
    </row>
    <row r="17" spans="1:4" x14ac:dyDescent="0.25">
      <c r="A17" s="2">
        <v>13</v>
      </c>
      <c r="B17" s="2" t="s">
        <v>161</v>
      </c>
      <c r="C17" s="5">
        <v>16</v>
      </c>
      <c r="D17" s="6">
        <f t="shared" si="0"/>
        <v>9.0909090909090912E-2</v>
      </c>
    </row>
    <row r="18" spans="1:4" x14ac:dyDescent="0.25">
      <c r="A18" s="2">
        <v>14</v>
      </c>
      <c r="B18" s="2" t="s">
        <v>162</v>
      </c>
      <c r="C18" s="5">
        <v>15</v>
      </c>
      <c r="D18" s="6">
        <f t="shared" si="0"/>
        <v>8.5227272727272721E-2</v>
      </c>
    </row>
    <row r="19" spans="1:4" x14ac:dyDescent="0.25">
      <c r="A19" s="2">
        <v>15</v>
      </c>
      <c r="B19" s="2" t="s">
        <v>163</v>
      </c>
      <c r="C19" s="5">
        <v>15</v>
      </c>
      <c r="D19" s="6">
        <f t="shared" si="0"/>
        <v>8.5227272727272721E-2</v>
      </c>
    </row>
    <row r="20" spans="1:4" x14ac:dyDescent="0.25">
      <c r="A20" s="2">
        <v>16</v>
      </c>
      <c r="B20" s="2" t="s">
        <v>164</v>
      </c>
      <c r="C20" s="5">
        <v>15</v>
      </c>
      <c r="D20" s="6">
        <f t="shared" si="0"/>
        <v>8.5227272727272721E-2</v>
      </c>
    </row>
    <row r="21" spans="1:4" x14ac:dyDescent="0.25">
      <c r="A21" s="2">
        <v>17</v>
      </c>
      <c r="B21" s="2" t="s">
        <v>165</v>
      </c>
      <c r="C21" s="5">
        <v>15</v>
      </c>
      <c r="D21" s="6">
        <f t="shared" si="0"/>
        <v>8.5227272727272721E-2</v>
      </c>
    </row>
    <row r="22" spans="1:4" x14ac:dyDescent="0.25">
      <c r="A22" s="2">
        <v>18</v>
      </c>
      <c r="B22" s="2" t="s">
        <v>166</v>
      </c>
      <c r="C22" s="5">
        <v>15</v>
      </c>
      <c r="D22" s="6">
        <f t="shared" si="0"/>
        <v>8.5227272727272721E-2</v>
      </c>
    </row>
    <row r="23" spans="1:4" x14ac:dyDescent="0.25">
      <c r="A23" s="2">
        <v>19</v>
      </c>
      <c r="B23" s="2" t="s">
        <v>167</v>
      </c>
      <c r="C23" s="5">
        <v>15</v>
      </c>
      <c r="D23" s="6">
        <f t="shared" si="0"/>
        <v>8.5227272727272721E-2</v>
      </c>
    </row>
    <row r="24" spans="1:4" x14ac:dyDescent="0.25">
      <c r="A24" s="2">
        <v>20</v>
      </c>
      <c r="B24" s="2" t="s">
        <v>168</v>
      </c>
      <c r="C24" s="5">
        <v>14</v>
      </c>
      <c r="D24" s="6">
        <f t="shared" si="0"/>
        <v>7.9545454545454544E-2</v>
      </c>
    </row>
    <row r="25" spans="1:4" x14ac:dyDescent="0.25">
      <c r="A25" s="2">
        <v>21</v>
      </c>
      <c r="B25" s="2" t="s">
        <v>169</v>
      </c>
      <c r="C25" s="5">
        <v>14</v>
      </c>
      <c r="D25" s="6">
        <f t="shared" si="0"/>
        <v>7.9545454545454544E-2</v>
      </c>
    </row>
    <row r="26" spans="1:4" x14ac:dyDescent="0.25">
      <c r="A26" s="2">
        <v>22</v>
      </c>
      <c r="B26" s="2" t="s">
        <v>170</v>
      </c>
      <c r="C26" s="5">
        <v>14</v>
      </c>
      <c r="D26" s="6">
        <f t="shared" si="0"/>
        <v>7.9545454545454544E-2</v>
      </c>
    </row>
    <row r="27" spans="1:4" x14ac:dyDescent="0.25">
      <c r="A27" s="2">
        <v>23</v>
      </c>
      <c r="B27" s="2" t="s">
        <v>171</v>
      </c>
      <c r="C27" s="5">
        <v>13</v>
      </c>
      <c r="D27" s="6">
        <f t="shared" si="0"/>
        <v>7.3863636363636367E-2</v>
      </c>
    </row>
    <row r="28" spans="1:4" x14ac:dyDescent="0.25">
      <c r="A28" s="2">
        <v>24</v>
      </c>
      <c r="B28" s="2" t="s">
        <v>172</v>
      </c>
      <c r="C28" s="5">
        <v>12</v>
      </c>
      <c r="D28" s="6">
        <f t="shared" si="0"/>
        <v>6.8181818181818177E-2</v>
      </c>
    </row>
    <row r="29" spans="1:4" x14ac:dyDescent="0.25">
      <c r="A29" s="2">
        <v>25</v>
      </c>
      <c r="B29" s="2" t="s">
        <v>173</v>
      </c>
      <c r="C29" s="5">
        <v>12</v>
      </c>
      <c r="D29" s="6">
        <f t="shared" si="0"/>
        <v>6.8181818181818177E-2</v>
      </c>
    </row>
    <row r="30" spans="1:4" x14ac:dyDescent="0.25">
      <c r="A30" s="2">
        <v>26</v>
      </c>
      <c r="B30" s="2" t="s">
        <v>174</v>
      </c>
      <c r="C30" s="5">
        <v>12</v>
      </c>
      <c r="D30" s="6">
        <f t="shared" si="0"/>
        <v>6.8181818181818177E-2</v>
      </c>
    </row>
    <row r="31" spans="1:4" x14ac:dyDescent="0.25">
      <c r="A31" s="2">
        <v>27</v>
      </c>
      <c r="B31" s="2" t="s">
        <v>175</v>
      </c>
      <c r="C31" s="5">
        <v>12</v>
      </c>
      <c r="D31" s="6">
        <f t="shared" si="0"/>
        <v>6.8181818181818177E-2</v>
      </c>
    </row>
    <row r="32" spans="1:4" x14ac:dyDescent="0.25">
      <c r="A32" s="2">
        <v>28</v>
      </c>
      <c r="B32" s="2" t="s">
        <v>176</v>
      </c>
      <c r="C32" s="5">
        <v>11</v>
      </c>
      <c r="D32" s="6">
        <f t="shared" si="0"/>
        <v>6.25E-2</v>
      </c>
    </row>
    <row r="33" spans="1:4" x14ac:dyDescent="0.25">
      <c r="A33" s="2">
        <v>29</v>
      </c>
      <c r="B33" s="2" t="s">
        <v>177</v>
      </c>
      <c r="C33" s="5">
        <v>11</v>
      </c>
      <c r="D33" s="6">
        <f t="shared" si="0"/>
        <v>6.25E-2</v>
      </c>
    </row>
    <row r="34" spans="1:4" x14ac:dyDescent="0.25">
      <c r="A34" s="2">
        <v>30</v>
      </c>
      <c r="B34" s="2" t="s">
        <v>178</v>
      </c>
      <c r="C34" s="5">
        <v>11</v>
      </c>
      <c r="D34" s="6">
        <f t="shared" si="0"/>
        <v>6.25E-2</v>
      </c>
    </row>
    <row r="35" spans="1:4" x14ac:dyDescent="0.25">
      <c r="A35" s="2">
        <v>31</v>
      </c>
      <c r="B35" s="2" t="s">
        <v>179</v>
      </c>
      <c r="C35" s="5">
        <v>9</v>
      </c>
      <c r="D35" s="6">
        <f t="shared" si="0"/>
        <v>5.113636363636364E-2</v>
      </c>
    </row>
    <row r="36" spans="1:4" x14ac:dyDescent="0.25">
      <c r="A36" s="2">
        <v>32</v>
      </c>
      <c r="B36" s="2" t="s">
        <v>180</v>
      </c>
      <c r="C36" s="5">
        <v>9</v>
      </c>
      <c r="D36" s="6">
        <f t="shared" si="0"/>
        <v>5.113636363636364E-2</v>
      </c>
    </row>
    <row r="37" spans="1:4" x14ac:dyDescent="0.25">
      <c r="A37" s="2">
        <v>33</v>
      </c>
      <c r="B37" s="2" t="s">
        <v>181</v>
      </c>
      <c r="C37" s="5">
        <v>8</v>
      </c>
      <c r="D37" s="6">
        <f t="shared" ref="D37:D64" si="1">C37/176</f>
        <v>4.5454545454545456E-2</v>
      </c>
    </row>
    <row r="38" spans="1:4" x14ac:dyDescent="0.25">
      <c r="A38" s="2">
        <v>34</v>
      </c>
      <c r="B38" s="2" t="s">
        <v>182</v>
      </c>
      <c r="C38" s="5">
        <v>8</v>
      </c>
      <c r="D38" s="6">
        <f t="shared" si="1"/>
        <v>4.5454545454545456E-2</v>
      </c>
    </row>
    <row r="39" spans="1:4" x14ac:dyDescent="0.25">
      <c r="A39" s="2">
        <v>35</v>
      </c>
      <c r="B39" s="2" t="s">
        <v>183</v>
      </c>
      <c r="C39" s="5">
        <v>7</v>
      </c>
      <c r="D39" s="6">
        <f t="shared" si="1"/>
        <v>3.9772727272727272E-2</v>
      </c>
    </row>
    <row r="40" spans="1:4" x14ac:dyDescent="0.25">
      <c r="A40" s="2">
        <v>36</v>
      </c>
      <c r="B40" s="2" t="s">
        <v>184</v>
      </c>
      <c r="C40" s="5">
        <v>7</v>
      </c>
      <c r="D40" s="6">
        <f t="shared" si="1"/>
        <v>3.9772727272727272E-2</v>
      </c>
    </row>
    <row r="41" spans="1:4" x14ac:dyDescent="0.25">
      <c r="A41" s="2">
        <v>37</v>
      </c>
      <c r="B41" s="2" t="s">
        <v>185</v>
      </c>
      <c r="C41" s="5">
        <v>7</v>
      </c>
      <c r="D41" s="6">
        <f t="shared" si="1"/>
        <v>3.9772727272727272E-2</v>
      </c>
    </row>
    <row r="42" spans="1:4" x14ac:dyDescent="0.25">
      <c r="A42" s="2">
        <v>38</v>
      </c>
      <c r="B42" s="2" t="s">
        <v>186</v>
      </c>
      <c r="C42" s="5">
        <v>7</v>
      </c>
      <c r="D42" s="6">
        <f t="shared" si="1"/>
        <v>3.9772727272727272E-2</v>
      </c>
    </row>
    <row r="43" spans="1:4" x14ac:dyDescent="0.25">
      <c r="A43" s="2">
        <v>39</v>
      </c>
      <c r="B43" s="2" t="s">
        <v>187</v>
      </c>
      <c r="C43" s="5">
        <v>6</v>
      </c>
      <c r="D43" s="6">
        <f t="shared" si="1"/>
        <v>3.4090909090909088E-2</v>
      </c>
    </row>
    <row r="44" spans="1:4" x14ac:dyDescent="0.25">
      <c r="A44" s="2">
        <v>40</v>
      </c>
      <c r="B44" s="2" t="s">
        <v>188</v>
      </c>
      <c r="C44" s="5">
        <v>6</v>
      </c>
      <c r="D44" s="6">
        <f t="shared" si="1"/>
        <v>3.4090909090909088E-2</v>
      </c>
    </row>
    <row r="45" spans="1:4" x14ac:dyDescent="0.25">
      <c r="A45" s="2">
        <v>41</v>
      </c>
      <c r="B45" s="2" t="s">
        <v>189</v>
      </c>
      <c r="C45" s="5">
        <v>6</v>
      </c>
      <c r="D45" s="6">
        <f t="shared" si="1"/>
        <v>3.4090909090909088E-2</v>
      </c>
    </row>
    <row r="46" spans="1:4" x14ac:dyDescent="0.25">
      <c r="A46" s="2">
        <v>42</v>
      </c>
      <c r="B46" s="2" t="s">
        <v>190</v>
      </c>
      <c r="C46" s="5">
        <v>6</v>
      </c>
      <c r="D46" s="6">
        <f t="shared" si="1"/>
        <v>3.4090909090909088E-2</v>
      </c>
    </row>
    <row r="47" spans="1:4" x14ac:dyDescent="0.25">
      <c r="A47" s="2">
        <v>43</v>
      </c>
      <c r="B47" s="2" t="s">
        <v>191</v>
      </c>
      <c r="C47" s="5">
        <v>6</v>
      </c>
      <c r="D47" s="6">
        <f t="shared" si="1"/>
        <v>3.4090909090909088E-2</v>
      </c>
    </row>
    <row r="48" spans="1:4" x14ac:dyDescent="0.25">
      <c r="A48" s="2">
        <v>44</v>
      </c>
      <c r="B48" s="2" t="s">
        <v>192</v>
      </c>
      <c r="C48" s="5">
        <v>6</v>
      </c>
      <c r="D48" s="6">
        <f t="shared" si="1"/>
        <v>3.4090909090909088E-2</v>
      </c>
    </row>
    <row r="49" spans="1:4" x14ac:dyDescent="0.25">
      <c r="A49" s="2">
        <v>45</v>
      </c>
      <c r="B49" s="2" t="s">
        <v>193</v>
      </c>
      <c r="C49" s="5">
        <v>6</v>
      </c>
      <c r="D49" s="6">
        <f t="shared" si="1"/>
        <v>3.4090909090909088E-2</v>
      </c>
    </row>
    <row r="50" spans="1:4" x14ac:dyDescent="0.25">
      <c r="A50" s="2">
        <v>46</v>
      </c>
      <c r="B50" s="2" t="s">
        <v>194</v>
      </c>
      <c r="C50" s="5">
        <v>5</v>
      </c>
      <c r="D50" s="6">
        <f t="shared" si="1"/>
        <v>2.8409090909090908E-2</v>
      </c>
    </row>
    <row r="51" spans="1:4" x14ac:dyDescent="0.25">
      <c r="A51" s="2">
        <v>47</v>
      </c>
      <c r="B51" s="2" t="s">
        <v>195</v>
      </c>
      <c r="C51" s="5">
        <v>5</v>
      </c>
      <c r="D51" s="6">
        <f t="shared" si="1"/>
        <v>2.8409090909090908E-2</v>
      </c>
    </row>
    <row r="52" spans="1:4" x14ac:dyDescent="0.25">
      <c r="A52" s="2">
        <v>48</v>
      </c>
      <c r="B52" s="2" t="s">
        <v>196</v>
      </c>
      <c r="C52" s="5">
        <v>5</v>
      </c>
      <c r="D52" s="6">
        <f t="shared" si="1"/>
        <v>2.8409090909090908E-2</v>
      </c>
    </row>
    <row r="53" spans="1:4" x14ac:dyDescent="0.25">
      <c r="A53" s="2">
        <v>49</v>
      </c>
      <c r="B53" s="2" t="s">
        <v>197</v>
      </c>
      <c r="C53" s="5">
        <v>5</v>
      </c>
      <c r="D53" s="6">
        <f t="shared" si="1"/>
        <v>2.8409090909090908E-2</v>
      </c>
    </row>
    <row r="54" spans="1:4" x14ac:dyDescent="0.25">
      <c r="A54" s="2">
        <v>50</v>
      </c>
      <c r="B54" s="2" t="s">
        <v>198</v>
      </c>
      <c r="C54" s="5">
        <v>5</v>
      </c>
      <c r="D54" s="6">
        <f t="shared" si="1"/>
        <v>2.8409090909090908E-2</v>
      </c>
    </row>
    <row r="55" spans="1:4" x14ac:dyDescent="0.25">
      <c r="A55" s="2">
        <v>51</v>
      </c>
      <c r="B55" s="2" t="s">
        <v>199</v>
      </c>
      <c r="C55" s="5">
        <v>5</v>
      </c>
      <c r="D55" s="6">
        <f t="shared" si="1"/>
        <v>2.8409090909090908E-2</v>
      </c>
    </row>
    <row r="56" spans="1:4" x14ac:dyDescent="0.25">
      <c r="A56" s="2">
        <v>52</v>
      </c>
      <c r="B56" s="2" t="s">
        <v>200</v>
      </c>
      <c r="C56" s="5">
        <v>4</v>
      </c>
      <c r="D56" s="6">
        <f t="shared" si="1"/>
        <v>2.2727272727272728E-2</v>
      </c>
    </row>
    <row r="57" spans="1:4" x14ac:dyDescent="0.25">
      <c r="A57" s="2">
        <v>53</v>
      </c>
      <c r="B57" s="2" t="s">
        <v>201</v>
      </c>
      <c r="C57" s="5">
        <v>4</v>
      </c>
      <c r="D57" s="6">
        <f t="shared" si="1"/>
        <v>2.2727272727272728E-2</v>
      </c>
    </row>
    <row r="58" spans="1:4" x14ac:dyDescent="0.25">
      <c r="A58" s="2">
        <v>54</v>
      </c>
      <c r="B58" s="2" t="s">
        <v>202</v>
      </c>
      <c r="C58" s="5">
        <v>4</v>
      </c>
      <c r="D58" s="6">
        <f t="shared" si="1"/>
        <v>2.2727272727272728E-2</v>
      </c>
    </row>
    <row r="59" spans="1:4" x14ac:dyDescent="0.25">
      <c r="A59" s="2">
        <v>55</v>
      </c>
      <c r="B59" s="2" t="s">
        <v>203</v>
      </c>
      <c r="C59" s="5">
        <v>4</v>
      </c>
      <c r="D59" s="6">
        <f t="shared" si="1"/>
        <v>2.2727272727272728E-2</v>
      </c>
    </row>
    <row r="60" spans="1:4" x14ac:dyDescent="0.25">
      <c r="A60" s="2">
        <v>56</v>
      </c>
      <c r="B60" s="2" t="s">
        <v>204</v>
      </c>
      <c r="C60" s="5">
        <v>4</v>
      </c>
      <c r="D60" s="6">
        <f t="shared" si="1"/>
        <v>2.2727272727272728E-2</v>
      </c>
    </row>
    <row r="61" spans="1:4" x14ac:dyDescent="0.25">
      <c r="A61" s="2">
        <v>57</v>
      </c>
      <c r="B61" s="2" t="s">
        <v>205</v>
      </c>
      <c r="C61" s="5">
        <v>4</v>
      </c>
      <c r="D61" s="6">
        <f t="shared" si="1"/>
        <v>2.2727272727272728E-2</v>
      </c>
    </row>
    <row r="62" spans="1:4" x14ac:dyDescent="0.25">
      <c r="A62" s="2">
        <v>58</v>
      </c>
      <c r="B62" s="2" t="s">
        <v>206</v>
      </c>
      <c r="C62" s="5">
        <v>4</v>
      </c>
      <c r="D62" s="6">
        <f t="shared" si="1"/>
        <v>2.2727272727272728E-2</v>
      </c>
    </row>
    <row r="63" spans="1:4" x14ac:dyDescent="0.25">
      <c r="A63" s="2">
        <v>59</v>
      </c>
      <c r="B63" s="2" t="s">
        <v>207</v>
      </c>
      <c r="C63" s="5">
        <v>4</v>
      </c>
      <c r="D63" s="6">
        <f t="shared" si="1"/>
        <v>2.2727272727272728E-2</v>
      </c>
    </row>
    <row r="64" spans="1:4" x14ac:dyDescent="0.25">
      <c r="A64" s="2">
        <v>60</v>
      </c>
      <c r="B64" s="2" t="s">
        <v>208</v>
      </c>
      <c r="C64" s="5">
        <v>4</v>
      </c>
      <c r="D64" s="6">
        <f t="shared" si="1"/>
        <v>2.2727272727272728E-2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showGridLines="0" workbookViewId="0">
      <pane ySplit="4" topLeftCell="A5" activePane="bottomLeft" state="frozen"/>
      <selection pane="bottomLeft" sqref="A1:E1"/>
    </sheetView>
  </sheetViews>
  <sheetFormatPr defaultRowHeight="15" x14ac:dyDescent="0.25"/>
  <cols>
    <col min="1" max="1" width="7" customWidth="1"/>
    <col min="2" max="2" width="26" customWidth="1"/>
    <col min="3" max="3" width="16" customWidth="1"/>
    <col min="4" max="4" width="24" customWidth="1"/>
  </cols>
  <sheetData>
    <row r="1" spans="1:5" ht="30" customHeight="1" x14ac:dyDescent="0.25">
      <c r="A1" s="17" t="s">
        <v>209</v>
      </c>
      <c r="B1" s="18"/>
      <c r="C1" s="18"/>
      <c r="D1" s="18"/>
      <c r="E1" s="18"/>
    </row>
    <row r="2" spans="1:5" ht="18" customHeight="1" x14ac:dyDescent="0.25">
      <c r="A2" s="32" t="s">
        <v>210</v>
      </c>
      <c r="B2" s="18"/>
      <c r="C2" s="18"/>
      <c r="D2" s="18"/>
      <c r="E2" s="18"/>
    </row>
    <row r="4" spans="1:5" ht="25.5" x14ac:dyDescent="0.25">
      <c r="A4" s="1" t="s">
        <v>153</v>
      </c>
      <c r="B4" s="1" t="s">
        <v>154</v>
      </c>
      <c r="C4" s="1" t="s">
        <v>155</v>
      </c>
      <c r="D4" s="1" t="s">
        <v>156</v>
      </c>
    </row>
    <row r="5" spans="1:5" x14ac:dyDescent="0.25">
      <c r="A5" s="2">
        <v>1</v>
      </c>
      <c r="B5" s="2" t="s">
        <v>211</v>
      </c>
      <c r="C5" s="5">
        <v>7</v>
      </c>
      <c r="D5" s="6">
        <f t="shared" ref="D5:D17" si="0">C5/9</f>
        <v>0.77777777777777779</v>
      </c>
    </row>
    <row r="6" spans="1:5" x14ac:dyDescent="0.25">
      <c r="A6" s="2">
        <v>2</v>
      </c>
      <c r="B6" s="2" t="s">
        <v>212</v>
      </c>
      <c r="C6" s="5">
        <v>7</v>
      </c>
      <c r="D6" s="6">
        <f t="shared" si="0"/>
        <v>0.77777777777777779</v>
      </c>
    </row>
    <row r="7" spans="1:5" x14ac:dyDescent="0.25">
      <c r="A7" s="2">
        <v>3</v>
      </c>
      <c r="B7" s="2" t="s">
        <v>213</v>
      </c>
      <c r="C7" s="5">
        <v>7</v>
      </c>
      <c r="D7" s="6">
        <f t="shared" si="0"/>
        <v>0.77777777777777779</v>
      </c>
    </row>
    <row r="8" spans="1:5" x14ac:dyDescent="0.25">
      <c r="A8" s="2">
        <v>4</v>
      </c>
      <c r="B8" s="2" t="s">
        <v>214</v>
      </c>
      <c r="C8" s="5">
        <v>7</v>
      </c>
      <c r="D8" s="6">
        <f t="shared" si="0"/>
        <v>0.77777777777777779</v>
      </c>
    </row>
    <row r="9" spans="1:5" x14ac:dyDescent="0.25">
      <c r="A9" s="2">
        <v>5</v>
      </c>
      <c r="B9" s="2" t="s">
        <v>215</v>
      </c>
      <c r="C9" s="5">
        <v>7</v>
      </c>
      <c r="D9" s="6">
        <f t="shared" si="0"/>
        <v>0.77777777777777779</v>
      </c>
    </row>
    <row r="10" spans="1:5" x14ac:dyDescent="0.25">
      <c r="A10" s="2">
        <v>6</v>
      </c>
      <c r="B10" s="2" t="s">
        <v>216</v>
      </c>
      <c r="C10" s="5">
        <v>7</v>
      </c>
      <c r="D10" s="6">
        <f t="shared" si="0"/>
        <v>0.77777777777777779</v>
      </c>
    </row>
    <row r="11" spans="1:5" x14ac:dyDescent="0.25">
      <c r="A11" s="2">
        <v>7</v>
      </c>
      <c r="B11" s="2" t="s">
        <v>217</v>
      </c>
      <c r="C11" s="5">
        <v>1</v>
      </c>
      <c r="D11" s="6">
        <f t="shared" si="0"/>
        <v>0.1111111111111111</v>
      </c>
    </row>
    <row r="12" spans="1:5" x14ac:dyDescent="0.25">
      <c r="A12" s="2">
        <v>8</v>
      </c>
      <c r="B12" s="2" t="s">
        <v>218</v>
      </c>
      <c r="C12" s="5">
        <v>1</v>
      </c>
      <c r="D12" s="6">
        <f t="shared" si="0"/>
        <v>0.1111111111111111</v>
      </c>
    </row>
    <row r="13" spans="1:5" x14ac:dyDescent="0.25">
      <c r="A13" s="2">
        <v>9</v>
      </c>
      <c r="B13" s="2" t="s">
        <v>219</v>
      </c>
      <c r="C13" s="5">
        <v>1</v>
      </c>
      <c r="D13" s="6">
        <f t="shared" si="0"/>
        <v>0.1111111111111111</v>
      </c>
    </row>
    <row r="14" spans="1:5" x14ac:dyDescent="0.25">
      <c r="A14" s="2">
        <v>10</v>
      </c>
      <c r="B14" s="2" t="s">
        <v>220</v>
      </c>
      <c r="C14" s="5">
        <v>1</v>
      </c>
      <c r="D14" s="6">
        <f t="shared" si="0"/>
        <v>0.1111111111111111</v>
      </c>
    </row>
    <row r="15" spans="1:5" x14ac:dyDescent="0.25">
      <c r="A15" s="2">
        <v>11</v>
      </c>
      <c r="B15" s="2" t="s">
        <v>221</v>
      </c>
      <c r="C15" s="5">
        <v>1</v>
      </c>
      <c r="D15" s="6">
        <f t="shared" si="0"/>
        <v>0.1111111111111111</v>
      </c>
    </row>
    <row r="16" spans="1:5" x14ac:dyDescent="0.25">
      <c r="A16" s="2">
        <v>12</v>
      </c>
      <c r="B16" s="2" t="s">
        <v>222</v>
      </c>
      <c r="C16" s="5">
        <v>1</v>
      </c>
      <c r="D16" s="6">
        <f t="shared" si="0"/>
        <v>0.1111111111111111</v>
      </c>
    </row>
    <row r="17" spans="1:4" x14ac:dyDescent="0.25">
      <c r="A17" s="2">
        <v>13</v>
      </c>
      <c r="B17" s="2" t="s">
        <v>223</v>
      </c>
      <c r="C17" s="5">
        <v>1</v>
      </c>
      <c r="D17" s="6">
        <f t="shared" si="0"/>
        <v>0.1111111111111111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"/>
  <sheetViews>
    <sheetView showGridLines="0" workbookViewId="0">
      <selection activeCell="A9" sqref="A9"/>
    </sheetView>
  </sheetViews>
  <sheetFormatPr defaultRowHeight="15" x14ac:dyDescent="0.25"/>
  <cols>
    <col min="1" max="1" width="28" customWidth="1"/>
    <col min="2" max="2" width="34" customWidth="1"/>
    <col min="3" max="4" width="16" customWidth="1"/>
  </cols>
  <sheetData>
    <row r="1" spans="1:5" ht="30" customHeight="1" x14ac:dyDescent="0.25">
      <c r="A1" s="17" t="s">
        <v>224</v>
      </c>
      <c r="B1" s="18"/>
      <c r="C1" s="18"/>
      <c r="D1" s="18"/>
      <c r="E1" s="18"/>
    </row>
    <row r="2" spans="1:5" ht="18" customHeight="1" x14ac:dyDescent="0.25">
      <c r="A2" s="32" t="s">
        <v>225</v>
      </c>
      <c r="B2" s="18"/>
      <c r="C2" s="18"/>
      <c r="D2" s="18"/>
      <c r="E2" s="18"/>
    </row>
    <row r="4" spans="1:5" ht="25.5" x14ac:dyDescent="0.25">
      <c r="A4" s="1" t="s">
        <v>226</v>
      </c>
      <c r="B4" s="1" t="s">
        <v>227</v>
      </c>
      <c r="C4" s="1" t="s">
        <v>228</v>
      </c>
      <c r="D4" s="1" t="s">
        <v>229</v>
      </c>
    </row>
    <row r="5" spans="1:5" x14ac:dyDescent="0.25">
      <c r="A5" s="2" t="s">
        <v>230</v>
      </c>
      <c r="B5" s="2" t="s">
        <v>231</v>
      </c>
      <c r="C5" s="2" t="s">
        <v>17</v>
      </c>
      <c r="D5" s="5">
        <v>113</v>
      </c>
    </row>
    <row r="6" spans="1:5" x14ac:dyDescent="0.25">
      <c r="A6" s="2" t="s">
        <v>230</v>
      </c>
      <c r="B6" s="2" t="s">
        <v>232</v>
      </c>
      <c r="C6" s="2" t="s">
        <v>17</v>
      </c>
      <c r="D6" s="5">
        <v>1</v>
      </c>
    </row>
    <row r="7" spans="1:5" x14ac:dyDescent="0.25">
      <c r="A7" s="2" t="s">
        <v>230</v>
      </c>
      <c r="B7" s="2" t="s">
        <v>233</v>
      </c>
      <c r="C7" s="2" t="s">
        <v>141</v>
      </c>
      <c r="D7" s="5">
        <v>1</v>
      </c>
    </row>
    <row r="8" spans="1:5" x14ac:dyDescent="0.25">
      <c r="A8" s="7" t="s">
        <v>285</v>
      </c>
      <c r="B8" s="2"/>
      <c r="C8" s="2"/>
      <c r="D8" s="14">
        <f>SUM(D5:D7)</f>
        <v>115</v>
      </c>
    </row>
    <row r="10" spans="1:5" ht="20.100000000000001" customHeight="1" x14ac:dyDescent="0.25">
      <c r="A10" s="23" t="s">
        <v>234</v>
      </c>
      <c r="B10" s="18"/>
      <c r="C10" s="18"/>
      <c r="D10" s="18"/>
    </row>
    <row r="11" spans="1:5" x14ac:dyDescent="0.25">
      <c r="A11" s="1" t="s">
        <v>226</v>
      </c>
      <c r="B11" s="1" t="s">
        <v>235</v>
      </c>
      <c r="C11" s="1"/>
      <c r="D11" s="1" t="s">
        <v>25</v>
      </c>
    </row>
    <row r="12" spans="1:5" x14ac:dyDescent="0.25">
      <c r="A12" s="2" t="s">
        <v>118</v>
      </c>
      <c r="B12" s="2" t="s">
        <v>116</v>
      </c>
      <c r="C12" s="2"/>
      <c r="D12" s="5">
        <v>2</v>
      </c>
    </row>
    <row r="13" spans="1:5" x14ac:dyDescent="0.25">
      <c r="A13" s="2" t="s">
        <v>118</v>
      </c>
      <c r="B13" s="2" t="s">
        <v>236</v>
      </c>
      <c r="C13" s="2"/>
      <c r="D13" s="5">
        <v>1</v>
      </c>
    </row>
    <row r="14" spans="1:5" x14ac:dyDescent="0.25">
      <c r="A14" s="2" t="s">
        <v>118</v>
      </c>
      <c r="B14" s="2" t="s">
        <v>121</v>
      </c>
      <c r="C14" s="2"/>
      <c r="D14" s="5">
        <v>1</v>
      </c>
    </row>
    <row r="15" spans="1:5" x14ac:dyDescent="0.25">
      <c r="A15" s="2" t="s">
        <v>118</v>
      </c>
      <c r="B15" s="2" t="s">
        <v>123</v>
      </c>
      <c r="C15" s="2"/>
      <c r="D15" s="5">
        <v>1</v>
      </c>
    </row>
    <row r="16" spans="1:5" x14ac:dyDescent="0.25">
      <c r="A16" s="2" t="s">
        <v>118</v>
      </c>
      <c r="B16" s="2" t="s">
        <v>125</v>
      </c>
      <c r="C16" s="2"/>
      <c r="D16" s="5">
        <v>1</v>
      </c>
    </row>
    <row r="17" spans="1:4" x14ac:dyDescent="0.25">
      <c r="A17" s="2" t="s">
        <v>118</v>
      </c>
      <c r="B17" s="2" t="s">
        <v>127</v>
      </c>
      <c r="C17" s="2"/>
      <c r="D17" s="5">
        <v>1</v>
      </c>
    </row>
    <row r="18" spans="1:4" x14ac:dyDescent="0.25">
      <c r="A18" s="2" t="s">
        <v>118</v>
      </c>
      <c r="B18" s="2" t="s">
        <v>129</v>
      </c>
      <c r="C18" s="2"/>
      <c r="D18" s="5">
        <v>1</v>
      </c>
    </row>
    <row r="19" spans="1:4" x14ac:dyDescent="0.25">
      <c r="A19" s="2" t="s">
        <v>118</v>
      </c>
      <c r="B19" s="2" t="s">
        <v>131</v>
      </c>
      <c r="C19" s="2"/>
      <c r="D19" s="5">
        <v>1</v>
      </c>
    </row>
    <row r="20" spans="1:4" x14ac:dyDescent="0.25">
      <c r="A20" s="2" t="s">
        <v>118</v>
      </c>
      <c r="B20" s="2" t="s">
        <v>133</v>
      </c>
      <c r="C20" s="2"/>
      <c r="D20" s="5">
        <v>1</v>
      </c>
    </row>
    <row r="21" spans="1:4" x14ac:dyDescent="0.25">
      <c r="A21" s="2" t="s">
        <v>118</v>
      </c>
      <c r="B21" s="2" t="s">
        <v>135</v>
      </c>
      <c r="C21" s="2"/>
      <c r="D21" s="5">
        <v>1</v>
      </c>
    </row>
    <row r="22" spans="1:4" x14ac:dyDescent="0.25">
      <c r="A22" s="2" t="s">
        <v>118</v>
      </c>
      <c r="B22" s="2" t="s">
        <v>137</v>
      </c>
      <c r="C22" s="2"/>
      <c r="D22" s="5">
        <v>1</v>
      </c>
    </row>
    <row r="23" spans="1:4" x14ac:dyDescent="0.25">
      <c r="A23" s="2" t="s">
        <v>118</v>
      </c>
      <c r="B23" s="2" t="s">
        <v>139</v>
      </c>
      <c r="C23" s="2"/>
      <c r="D23" s="5">
        <v>1</v>
      </c>
    </row>
    <row r="24" spans="1:4" x14ac:dyDescent="0.25">
      <c r="A24" s="2" t="s">
        <v>118</v>
      </c>
      <c r="B24" s="2" t="s">
        <v>237</v>
      </c>
      <c r="C24" s="2"/>
      <c r="D24" s="5">
        <v>1</v>
      </c>
    </row>
    <row r="25" spans="1:4" x14ac:dyDescent="0.25">
      <c r="A25" s="2" t="s">
        <v>118</v>
      </c>
      <c r="B25" s="2" t="s">
        <v>145</v>
      </c>
      <c r="C25" s="2"/>
      <c r="D25" s="5">
        <v>1</v>
      </c>
    </row>
    <row r="26" spans="1:4" x14ac:dyDescent="0.25">
      <c r="A26" s="2" t="s">
        <v>118</v>
      </c>
      <c r="B26" s="2" t="s">
        <v>238</v>
      </c>
      <c r="C26" s="2"/>
      <c r="D26" s="5">
        <v>1</v>
      </c>
    </row>
    <row r="27" spans="1:4" x14ac:dyDescent="0.25">
      <c r="A27" s="2" t="s">
        <v>118</v>
      </c>
      <c r="B27" s="2" t="s">
        <v>239</v>
      </c>
      <c r="C27" s="2"/>
      <c r="D27" s="5">
        <v>1</v>
      </c>
    </row>
  </sheetData>
  <mergeCells count="3">
    <mergeCell ref="A2:E2"/>
    <mergeCell ref="A10:D10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showGridLines="0" workbookViewId="0">
      <selection sqref="A1:D1"/>
    </sheetView>
  </sheetViews>
  <sheetFormatPr defaultRowHeight="15" x14ac:dyDescent="0.25"/>
  <cols>
    <col min="1" max="1" width="48" customWidth="1"/>
    <col min="2" max="3" width="12" customWidth="1"/>
  </cols>
  <sheetData>
    <row r="1" spans="1:4" ht="30" customHeight="1" x14ac:dyDescent="0.25">
      <c r="A1" s="17" t="s">
        <v>240</v>
      </c>
      <c r="B1" s="18"/>
      <c r="C1" s="18"/>
      <c r="D1" s="18"/>
    </row>
    <row r="2" spans="1:4" ht="18" customHeight="1" x14ac:dyDescent="0.25">
      <c r="A2" s="32" t="s">
        <v>241</v>
      </c>
      <c r="B2" s="18"/>
      <c r="C2" s="18"/>
      <c r="D2" s="18"/>
    </row>
    <row r="4" spans="1:4" x14ac:dyDescent="0.25">
      <c r="A4" s="1" t="s">
        <v>242</v>
      </c>
      <c r="B4" s="1" t="s">
        <v>154</v>
      </c>
      <c r="C4" s="1" t="s">
        <v>243</v>
      </c>
    </row>
    <row r="5" spans="1:4" x14ac:dyDescent="0.25">
      <c r="A5" s="2" t="s">
        <v>244</v>
      </c>
      <c r="B5" s="5">
        <v>10</v>
      </c>
      <c r="C5" s="6">
        <v>3.7313432835820892E-2</v>
      </c>
    </row>
    <row r="6" spans="1:4" x14ac:dyDescent="0.25">
      <c r="A6" s="2" t="s">
        <v>245</v>
      </c>
      <c r="B6" s="5">
        <v>19</v>
      </c>
      <c r="C6" s="6">
        <v>4.0084388185654012E-2</v>
      </c>
    </row>
    <row r="7" spans="1:4" x14ac:dyDescent="0.25">
      <c r="A7" s="2" t="s">
        <v>246</v>
      </c>
      <c r="B7" s="5">
        <v>14</v>
      </c>
      <c r="C7" s="6"/>
    </row>
    <row r="8" spans="1:4" x14ac:dyDescent="0.25">
      <c r="A8" s="2" t="s">
        <v>247</v>
      </c>
      <c r="B8" s="5">
        <v>18</v>
      </c>
      <c r="C8" s="6"/>
    </row>
    <row r="9" spans="1:4" x14ac:dyDescent="0.25">
      <c r="A9" s="2" t="s">
        <v>248</v>
      </c>
      <c r="B9" s="5">
        <v>256</v>
      </c>
      <c r="C9" s="6"/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235"/>
  </sheetPr>
  <dimension ref="A1:E10"/>
  <sheetViews>
    <sheetView showGridLines="0" tabSelected="1" workbookViewId="0">
      <selection activeCell="H10" sqref="H10"/>
    </sheetView>
  </sheetViews>
  <sheetFormatPr defaultRowHeight="15" x14ac:dyDescent="0.25"/>
  <cols>
    <col min="1" max="1" width="10" customWidth="1"/>
    <col min="2" max="2" width="64" customWidth="1"/>
    <col min="3" max="3" width="30" customWidth="1"/>
    <col min="4" max="4" width="24" customWidth="1"/>
    <col min="5" max="5" width="36" customWidth="1"/>
  </cols>
  <sheetData>
    <row r="1" spans="1:5" ht="30" customHeight="1" x14ac:dyDescent="0.25">
      <c r="A1" s="17" t="s">
        <v>249</v>
      </c>
      <c r="B1" s="18"/>
      <c r="C1" s="18"/>
      <c r="D1" s="18"/>
      <c r="E1" s="18"/>
    </row>
    <row r="2" spans="1:5" ht="18" customHeight="1" x14ac:dyDescent="0.25">
      <c r="A2" s="32" t="s">
        <v>250</v>
      </c>
      <c r="B2" s="18"/>
      <c r="C2" s="18"/>
      <c r="D2" s="18"/>
      <c r="E2" s="18"/>
    </row>
    <row r="4" spans="1:5" x14ac:dyDescent="0.25">
      <c r="A4" s="1" t="s">
        <v>251</v>
      </c>
      <c r="B4" s="1" t="s">
        <v>252</v>
      </c>
      <c r="C4" s="1" t="s">
        <v>253</v>
      </c>
      <c r="D4" s="1" t="s">
        <v>254</v>
      </c>
      <c r="E4" s="1" t="s">
        <v>255</v>
      </c>
    </row>
    <row r="5" spans="1:5" ht="42" customHeight="1" x14ac:dyDescent="0.25">
      <c r="A5" s="15" t="s">
        <v>256</v>
      </c>
      <c r="B5" s="16" t="s">
        <v>257</v>
      </c>
      <c r="C5" s="16" t="s">
        <v>258</v>
      </c>
      <c r="D5" s="16" t="s">
        <v>286</v>
      </c>
      <c r="E5" s="16" t="s">
        <v>259</v>
      </c>
    </row>
    <row r="6" spans="1:5" ht="42" customHeight="1" x14ac:dyDescent="0.25">
      <c r="A6" s="15" t="s">
        <v>260</v>
      </c>
      <c r="B6" s="16" t="s">
        <v>261</v>
      </c>
      <c r="C6" s="16" t="s">
        <v>262</v>
      </c>
      <c r="D6" s="16" t="s">
        <v>286</v>
      </c>
      <c r="E6" s="16" t="s">
        <v>263</v>
      </c>
    </row>
    <row r="7" spans="1:5" ht="42" customHeight="1" x14ac:dyDescent="0.25">
      <c r="A7" s="15" t="s">
        <v>264</v>
      </c>
      <c r="B7" s="16" t="s">
        <v>265</v>
      </c>
      <c r="C7" s="16" t="s">
        <v>266</v>
      </c>
      <c r="D7" s="16" t="s">
        <v>267</v>
      </c>
      <c r="E7" s="16" t="s">
        <v>268</v>
      </c>
    </row>
    <row r="8" spans="1:5" ht="42" customHeight="1" x14ac:dyDescent="0.25">
      <c r="A8" s="15" t="s">
        <v>269</v>
      </c>
      <c r="B8" s="16" t="s">
        <v>270</v>
      </c>
      <c r="C8" s="16" t="s">
        <v>284</v>
      </c>
      <c r="D8" s="16" t="s">
        <v>271</v>
      </c>
      <c r="E8" s="16" t="s">
        <v>272</v>
      </c>
    </row>
    <row r="9" spans="1:5" ht="42" customHeight="1" x14ac:dyDescent="0.25">
      <c r="A9" s="15" t="s">
        <v>273</v>
      </c>
      <c r="B9" s="16" t="s">
        <v>274</v>
      </c>
      <c r="C9" s="16" t="s">
        <v>275</v>
      </c>
      <c r="D9" s="16" t="s">
        <v>276</v>
      </c>
      <c r="E9" s="16" t="s">
        <v>277</v>
      </c>
    </row>
    <row r="10" spans="1:5" ht="42" customHeight="1" x14ac:dyDescent="0.25">
      <c r="A10" s="15" t="s">
        <v>278</v>
      </c>
      <c r="B10" s="16" t="s">
        <v>279</v>
      </c>
      <c r="C10" s="16" t="s">
        <v>280</v>
      </c>
      <c r="D10" s="16" t="s">
        <v>287</v>
      </c>
      <c r="E10" s="16" t="s">
        <v>281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By Product Type</vt:lpstr>
      <vt:lpstr>Option Types</vt:lpstr>
      <vt:lpstr>Color Values</vt:lpstr>
      <vt:lpstr>Size Values</vt:lpstr>
      <vt:lpstr>Data Quality</vt:lpstr>
      <vt:lpstr>Metafield Status</vt:lpstr>
      <vt:lpstr>Fix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Horsley</cp:lastModifiedBy>
  <dcterms:created xsi:type="dcterms:W3CDTF">2026-06-11T14:55:30Z</dcterms:created>
  <dcterms:modified xsi:type="dcterms:W3CDTF">2026-06-11T15:03:58Z</dcterms:modified>
</cp:coreProperties>
</file>