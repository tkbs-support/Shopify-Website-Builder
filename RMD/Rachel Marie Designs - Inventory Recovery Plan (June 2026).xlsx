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TKBS Marketing - Git\Shopify-Website-Builder\RMD\"/>
    </mc:Choice>
  </mc:AlternateContent>
  <xr:revisionPtr revIDLastSave="0" documentId="13_ncr:1_{3EC6D646-6C60-4560-86D2-1DEB07817E27}" xr6:coauthVersionLast="47" xr6:coauthVersionMax="47" xr10:uidLastSave="{00000000-0000-0000-0000-000000000000}"/>
  <bookViews>
    <workbookView xWindow="37155" yWindow="1470" windowWidth="31950" windowHeight="17040" xr2:uid="{00000000-000D-0000-FFFF-FFFF00000000}"/>
  </bookViews>
  <sheets>
    <sheet name="Summary" sheetId="1" r:id="rId1"/>
    <sheet name="By Product Type" sheetId="2" r:id="rId2"/>
    <sheet name="Option Types" sheetId="3" r:id="rId3"/>
    <sheet name="Color Values" sheetId="4" r:id="rId4"/>
    <sheet name="Size Values" sheetId="5" r:id="rId5"/>
    <sheet name="Data Quality" sheetId="6" r:id="rId6"/>
    <sheet name="Metafield Status" sheetId="7" r:id="rId7"/>
    <sheet name="Fix Roadma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F19" i="2"/>
  <c r="D19" i="2"/>
  <c r="F18" i="2"/>
  <c r="D18" i="2"/>
  <c r="F17" i="2"/>
  <c r="D17" i="2"/>
  <c r="F16" i="2"/>
  <c r="D16" i="2"/>
  <c r="F15" i="2"/>
  <c r="D15" i="2"/>
  <c r="F14" i="2"/>
  <c r="D14" i="2"/>
  <c r="F13" i="2"/>
  <c r="D13" i="2"/>
  <c r="F12" i="2"/>
  <c r="D12" i="2"/>
  <c r="F11" i="2"/>
  <c r="D11" i="2"/>
  <c r="F10" i="2"/>
  <c r="D10" i="2"/>
  <c r="F9" i="2"/>
  <c r="D9" i="2"/>
  <c r="F8" i="2"/>
  <c r="D8" i="2"/>
  <c r="F7" i="2"/>
  <c r="D7" i="2"/>
  <c r="F6" i="2"/>
  <c r="D6" i="2"/>
  <c r="F5" i="2"/>
  <c r="D5" i="2"/>
  <c r="C88" i="1"/>
  <c r="C87" i="1"/>
  <c r="C86" i="1"/>
  <c r="C85" i="1"/>
  <c r="C84" i="1"/>
  <c r="C83" i="1"/>
  <c r="C82" i="1"/>
  <c r="C81" i="1"/>
  <c r="C67" i="1"/>
  <c r="C66" i="1"/>
  <c r="C65" i="1"/>
  <c r="C50" i="1"/>
  <c r="C49" i="1"/>
  <c r="C20" i="1"/>
  <c r="C19" i="1"/>
  <c r="C18" i="1"/>
</calcChain>
</file>

<file path=xl/sharedStrings.xml><?xml version="1.0" encoding="utf-8"?>
<sst xmlns="http://schemas.openxmlformats.org/spreadsheetml/2006/main" count="445" uniqueCount="337">
  <si>
    <t>Rachel Marie Designs — Inventory Recovery Plan</t>
  </si>
  <si>
    <t>Audit date: June 22, 2026  |  rmdjewelry.com  |  Scope: in-stock products  |  Source: live store + store data export</t>
  </si>
  <si>
    <t>IN-STOCK PRODUCTS</t>
  </si>
  <si>
    <t>MISSING COLOR OPTION</t>
  </si>
  <si>
    <t>REAL SIZE GAPS (TYPE-AWARE)</t>
  </si>
  <si>
    <t>NO OPTIONS AT ALL</t>
  </si>
  <si>
    <t>of 533 active listings</t>
  </si>
  <si>
    <t>121 in-stock products</t>
  </si>
  <si>
    <t>types that expect a size but lack one (mostly rings). +61 length opportunities; 184 one-size (earrings, charms) = N/A</t>
  </si>
  <si>
    <t>72 “Default Title” products</t>
  </si>
  <si>
    <t>WHAT SHOPPERS CAN FILTER ON THE LIVE SITE TODAY  (checked June 22, 2026 — /collections/all)</t>
  </si>
  <si>
    <t>Filter</t>
  </si>
  <si>
    <t>Available?</t>
  </si>
  <si>
    <t>Why</t>
  </si>
  <si>
    <t>In stock / availability</t>
  </si>
  <si>
    <t>YES</t>
  </si>
  <si>
    <t>Standard Shopify filter</t>
  </si>
  <si>
    <t>Price</t>
  </si>
  <si>
    <t>Color</t>
  </si>
  <si>
    <t>Option data + Search &amp; Discovery config required</t>
  </si>
  <si>
    <t>Size</t>
  </si>
  <si>
    <t>Brand / vendor</t>
  </si>
  <si>
    <t>NO</t>
  </si>
  <si>
    <t>Filter not enabled (vendor data: 0 active products missing vendor)</t>
  </si>
  <si>
    <t>IN-STOCK FILTER READINESS</t>
  </si>
  <si>
    <t>Status</t>
  </si>
  <si>
    <t>Products</t>
  </si>
  <si>
    <t>% of in-stock</t>
  </si>
  <si>
    <t>Has Color option</t>
  </si>
  <si>
    <t>Missing Color option</t>
  </si>
  <si>
    <t>No options (“Default Title”)</t>
  </si>
  <si>
    <t>Size is type-specific — see “Sizing Readiness by Type” below (jewelry is mostly one-size).</t>
  </si>
  <si>
    <t>SIZING READINESS BY TYPE — size means different things per type</t>
  </si>
  <si>
    <t>Product Type</t>
  </si>
  <si>
    <t>In Stock</t>
  </si>
  <si>
    <t>Sized</t>
  </si>
  <si>
    <t>One-size</t>
  </si>
  <si>
    <t>Length opp.</t>
  </si>
  <si>
    <t>Size gap</t>
  </si>
  <si>
    <t>Mislabeled</t>
  </si>
  <si>
    <t>Expected sizing</t>
  </si>
  <si>
    <t>(none)</t>
  </si>
  <si>
    <t>- one-size (no size data in this type)</t>
  </si>
  <si>
    <t>Makeup Junkie Bags</t>
  </si>
  <si>
    <t>Size (Mini-Jumbo / S-XL)</t>
  </si>
  <si>
    <t>NECKLACE</t>
  </si>
  <si>
    <t>Length — Choker 16" / Princess 18" / Matinee 20-24" / Opera 28-36" / Rope 36"+</t>
  </si>
  <si>
    <t>BRACELETS</t>
  </si>
  <si>
    <t>Length or S-M-L (women ~6.5-8")</t>
  </si>
  <si>
    <t>NECKLACES</t>
  </si>
  <si>
    <t>RINGS</t>
  </si>
  <si>
    <t>Ring size (US 4-14 or "adjustable")</t>
  </si>
  <si>
    <t>JEWELRY</t>
  </si>
  <si>
    <t>varies by piece — classify by sub-type</t>
  </si>
  <si>
    <t>TOP</t>
  </si>
  <si>
    <t>Size (XS-3XL)</t>
  </si>
  <si>
    <t>J E W</t>
  </si>
  <si>
    <t>Handbag</t>
  </si>
  <si>
    <t>SOCKS</t>
  </si>
  <si>
    <t>Read: 15 real size gaps (mostly rings) · 61 length opportunities (chains/bracelets sold fixed — adding 16"/18"/20" aids filtering &amp; AEO) · 8 mislabeled (option named “Size” but values are colors — data cleanup) · 184 one-size items (earrings, charms, pendants, home) where size is N/A.</t>
  </si>
  <si>
    <t>CATALOG OVERVIEW</t>
  </si>
  <si>
    <t>% of active</t>
  </si>
  <si>
    <t>In stock</t>
  </si>
  <si>
    <t>Out of stock (still published)</t>
  </si>
  <si>
    <t>Active products (total)</t>
  </si>
  <si>
    <t>Draft products (not published)</t>
  </si>
  <si>
    <t>43% of the published catalog is out of stock — shoppers and Google still see these pages.</t>
  </si>
  <si>
    <t>OPTION NAMING HEALTH — “Color” is spelled 3 different ways</t>
  </si>
  <si>
    <t>Spelling used</t>
  </si>
  <si>
    <t>Share</t>
  </si>
  <si>
    <t>“Color” (correct)</t>
  </si>
  <si>
    <t>“COLOR”</t>
  </si>
  <si>
    <t>Other variants</t>
  </si>
  <si>
    <t>Filters treat every spelling as a separate option — these must be unified before Color/Size filters work.</t>
  </si>
  <si>
    <t>COLOR VALUES — naming sprawl check</t>
  </si>
  <si>
    <t>Top color values (in-stock)</t>
  </si>
  <si>
    <t>Share of color products</t>
  </si>
  <si>
    <t>Clear</t>
  </si>
  <si>
    <t>Jet</t>
  </si>
  <si>
    <t>Aurora Borealis</t>
  </si>
  <si>
    <t>Light Colorado Topaz</t>
  </si>
  <si>
    <t>Denim Ignite</t>
  </si>
  <si>
    <t>Aqua Champagne</t>
  </si>
  <si>
    <t>Verde</t>
  </si>
  <si>
    <t>Silvernight</t>
  </si>
  <si>
    <t>UNIQUE color values (in-stock)</t>
  </si>
  <si>
    <t>269 different color names across 183 in-stock color products. Canonical palette mapping (shopify.color-pattern metafield) currently covers 13 in-stock products.</t>
  </si>
  <si>
    <t>CATALOG AGE — listings by year created</t>
  </si>
  <si>
    <t>Year created</t>
  </si>
  <si>
    <t>Active listings</t>
  </si>
  <si>
    <t>Still in stock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</si>
  <si>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</si>
  <si>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</si>
  <si>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</si>
  <si>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</si>
  <si>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</si>
  <si>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</si>
  <si>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</si>
  <si>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</si>
  <si>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</si>
  <si>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PRICE PROFILE (in-stock variants)</t>
  </si>
  <si>
    <t>Lowest</t>
  </si>
  <si>
    <t>Typical low (25th pct)</t>
  </si>
  <si>
    <t>Median</t>
  </si>
  <si>
    <t>Typical high (75th pct)</t>
  </si>
  <si>
    <t>Highest</t>
  </si>
  <si>
    <t>Filter Readiness by Product Type (in-stock focus)</t>
  </si>
  <si>
    <t>Color % = share with a Color option. “Has Size” is raw; the Sizing expectation column interprets it per type (jewelry is mostly one-size).</t>
  </si>
  <si>
    <t>Has Color</t>
  </si>
  <si>
    <t>Color %</t>
  </si>
  <si>
    <t>Has Size</t>
  </si>
  <si>
    <t>Size %</t>
  </si>
  <si>
    <t>Sizing expectation</t>
  </si>
  <si>
    <t>No Description</t>
  </si>
  <si>
    <t>No Images</t>
  </si>
  <si>
    <t>Active (all)</t>
  </si>
  <si>
    <t>Note</t>
  </si>
  <si>
    <t>One-size / N/A</t>
  </si>
  <si>
    <t>EARRINGS</t>
  </si>
  <si>
    <t>Size expected — gap if absent</t>
  </si>
  <si>
    <t>Length option — opportunity</t>
  </si>
  <si>
    <t>Mixed — classify by piece</t>
  </si>
  <si>
    <t>HAND SANITIZER</t>
  </si>
  <si>
    <t>TEA</t>
  </si>
  <si>
    <t>mj luxe</t>
  </si>
  <si>
    <t>candle</t>
  </si>
  <si>
    <t>—</t>
  </si>
  <si>
    <t>brace</t>
  </si>
  <si>
    <t>Complete Inventory of Product Option Types</t>
  </si>
  <si>
    <t>533 active products scanned  |  169 have no options at all</t>
  </si>
  <si>
    <t>Option (canonical)</t>
  </si>
  <si>
    <t>Active Products</t>
  </si>
  <si>
    <t>Unique Values</t>
  </si>
  <si>
    <t>Spellings found</t>
  </si>
  <si>
    <t>Assessment</t>
  </si>
  <si>
    <t>Color:183, COLOR:117, color:1</t>
  </si>
  <si>
    <t>PRIMARY filter — fix naming, then map values</t>
  </si>
  <si>
    <t>Size:45</t>
  </si>
  <si>
    <t>PRIMARY filter — fix naming</t>
  </si>
  <si>
    <t>Flavors</t>
  </si>
  <si>
    <t>Flavors:2</t>
  </si>
  <si>
    <t>Review</t>
  </si>
  <si>
    <t>Shapes</t>
  </si>
  <si>
    <t>SHAPES:1</t>
  </si>
  <si>
    <t>Color/Size</t>
  </si>
  <si>
    <t>Color/Size:1</t>
  </si>
  <si>
    <t>Cranston Necklace</t>
  </si>
  <si>
    <t>Cranston Necklace:1</t>
  </si>
  <si>
    <t>Newport Necklace</t>
  </si>
  <si>
    <t>Newport Necklace:1</t>
  </si>
  <si>
    <t>Sparkleocity Earring</t>
  </si>
  <si>
    <t>Sparkleocity Earring:1</t>
  </si>
  <si>
    <t>Crossroads Necklace</t>
  </si>
  <si>
    <t>Crossroads Necklace:1</t>
  </si>
  <si>
    <t>Zig Zag Bracelet</t>
  </si>
  <si>
    <t>Zig Zag Bracelet:1</t>
  </si>
  <si>
    <t>Bruna Necklace</t>
  </si>
  <si>
    <t>Bruna Necklace:1</t>
  </si>
  <si>
    <t>Evie Bracelet</t>
  </si>
  <si>
    <t>Evie Bracelet:1</t>
  </si>
  <si>
    <t>Grand Rapids Earring</t>
  </si>
  <si>
    <t>Grand Rapids Earring:1</t>
  </si>
  <si>
    <t>Jamie Bracelet Gold</t>
  </si>
  <si>
    <t>Jamie Bracelet Gold:1</t>
  </si>
  <si>
    <t>Scent</t>
  </si>
  <si>
    <t>SCENT:1</t>
  </si>
  <si>
    <t>Coin</t>
  </si>
  <si>
    <t>COIN:1</t>
  </si>
  <si>
    <t>Balance Blend</t>
  </si>
  <si>
    <t>Balance Blend:1</t>
  </si>
  <si>
    <t>Nail Colors</t>
  </si>
  <si>
    <t>NAIL COLORS:1</t>
  </si>
  <si>
    <t>Hair And Body Care</t>
  </si>
  <si>
    <t>HAIR AND BODY CARE:1</t>
  </si>
  <si>
    <t>Print</t>
  </si>
  <si>
    <t>Print:1</t>
  </si>
  <si>
    <t>Color Values — In-Stock Products</t>
  </si>
  <si>
    <t>269 unique values across 183 in-stock products with a Color option (318 unique across full active catalog)</t>
  </si>
  <si>
    <t>Rank</t>
  </si>
  <si>
    <t>Value</t>
  </si>
  <si>
    <t>In-Stock Products</t>
  </si>
  <si>
    <t>% of products with option</t>
  </si>
  <si>
    <t>Silky Sage</t>
  </si>
  <si>
    <t>Light Rose</t>
  </si>
  <si>
    <t>Dusty Pink Delite</t>
  </si>
  <si>
    <t>Vintage Rose</t>
  </si>
  <si>
    <t>Serene Grey</t>
  </si>
  <si>
    <t>Montana</t>
  </si>
  <si>
    <t>Electric Pink</t>
  </si>
  <si>
    <t>Electric White</t>
  </si>
  <si>
    <t>Electric Orange</t>
  </si>
  <si>
    <t>Linen</t>
  </si>
  <si>
    <t>Aqua Lemon</t>
  </si>
  <si>
    <t>Electric Violet</t>
  </si>
  <si>
    <t>Siam</t>
  </si>
  <si>
    <t>Champagne</t>
  </si>
  <si>
    <t>Dark Grey Ignite</t>
  </si>
  <si>
    <t>Lotus Pink</t>
  </si>
  <si>
    <t>Orange Glow</t>
  </si>
  <si>
    <t>Vitrail Medium</t>
  </si>
  <si>
    <t>Iris</t>
  </si>
  <si>
    <t>Moonlight</t>
  </si>
  <si>
    <t>Golden Shadow</t>
  </si>
  <si>
    <t>White Opal</t>
  </si>
  <si>
    <t>Dark Rose</t>
  </si>
  <si>
    <t>Emerald</t>
  </si>
  <si>
    <t>Tranquility</t>
  </si>
  <si>
    <t>Medley</t>
  </si>
  <si>
    <t>Ab</t>
  </si>
  <si>
    <t>Light Sapphire</t>
  </si>
  <si>
    <t>Mystique</t>
  </si>
  <si>
    <t>Agave</t>
  </si>
  <si>
    <t>Denim</t>
  </si>
  <si>
    <t>Flamingo</t>
  </si>
  <si>
    <t>Ocean Delite</t>
  </si>
  <si>
    <t>Soft Yellow</t>
  </si>
  <si>
    <t>Light Sapphire Ab</t>
  </si>
  <si>
    <t>Electric Green</t>
  </si>
  <si>
    <t>Scarlet</t>
  </si>
  <si>
    <t>Peacock Eye</t>
  </si>
  <si>
    <t>Rose Lemon</t>
  </si>
  <si>
    <t>Silver Night</t>
  </si>
  <si>
    <t>Ocean Delight</t>
  </si>
  <si>
    <t>Turquoise</t>
  </si>
  <si>
    <t>Aqua Glacier Blue</t>
  </si>
  <si>
    <t>Bermuda</t>
  </si>
  <si>
    <t>Silver Ombre</t>
  </si>
  <si>
    <t>Sandstorm</t>
  </si>
  <si>
    <t>Linen Ignite</t>
  </si>
  <si>
    <t>Laguna</t>
  </si>
  <si>
    <t>Jet White Patina</t>
  </si>
  <si>
    <t>Lavender Delite</t>
  </si>
  <si>
    <t>Lime</t>
  </si>
  <si>
    <t>Paradise Shine</t>
  </si>
  <si>
    <t>Size Values — In-Stock Products</t>
  </si>
  <si>
    <t>30 unique values across 36 in-stock products with a Size option (31 unique across full active catalog)</t>
  </si>
  <si>
    <t>SMALL</t>
  </si>
  <si>
    <t>MEDIUM</t>
  </si>
  <si>
    <t>LARGE</t>
  </si>
  <si>
    <t>MINI</t>
  </si>
  <si>
    <t>JUMBO</t>
  </si>
  <si>
    <t>4 PIECE TRAVEL SET</t>
  </si>
  <si>
    <t>JUMBO TOP ZIP</t>
  </si>
  <si>
    <t>LARGE TOP ZIP</t>
  </si>
  <si>
    <t>MINI TOP ZIP</t>
  </si>
  <si>
    <t>SMALL TOP ZIP</t>
  </si>
  <si>
    <t>MEDIUM TOP ZIP</t>
  </si>
  <si>
    <t>4 PIECE TRAVEL SET TOP ZIP</t>
  </si>
  <si>
    <t>MICRO (NO LINER INSIDE)</t>
  </si>
  <si>
    <t>3XL</t>
  </si>
  <si>
    <t>2XL</t>
  </si>
  <si>
    <t>XL</t>
  </si>
  <si>
    <t>WEEKENDER</t>
  </si>
  <si>
    <t>DAYKEEPER</t>
  </si>
  <si>
    <t>DEMI</t>
  </si>
  <si>
    <t>DEMI MORE (BECAUSE IT'S BIGGER)</t>
  </si>
  <si>
    <t>4 PIECE TRAVEL SET CENTER ZIP</t>
  </si>
  <si>
    <t>SILVER OMBRE</t>
  </si>
  <si>
    <t>JASMINE</t>
  </si>
  <si>
    <t>ISLAND TROPICS</t>
  </si>
  <si>
    <t>CLEAR</t>
  </si>
  <si>
    <t>JET/ IRIS</t>
  </si>
  <si>
    <t>ANTIQUE SILVER/ IRIS</t>
  </si>
  <si>
    <t>JET/ CLEAR</t>
  </si>
  <si>
    <t>STANDARD MULTI USE POUCH</t>
  </si>
  <si>
    <t>LARGE MULTI USE POUCH</t>
  </si>
  <si>
    <t>Data Quality — Option Naming Cleanup List</t>
  </si>
  <si>
    <t>119 products carry a misspelled or inconsistent option name. Fixes change only the option LABEL — no variants, prices, or inventory are touched.</t>
  </si>
  <si>
    <t>Issue</t>
  </si>
  <si>
    <t>Current Spelling</t>
  </si>
  <si>
    <t>Should Be</t>
  </si>
  <si>
    <t>Products Affected</t>
  </si>
  <si>
    <t>Inconsistent casing</t>
  </si>
  <si>
    <t>COLOR</t>
  </si>
  <si>
    <t>color</t>
  </si>
  <si>
    <t>SCENT</t>
  </si>
  <si>
    <t>TOTAL (rename in one pass)</t>
  </si>
  <si>
    <t>NON-STANDARD OPTIONS TO REVIEW</t>
  </si>
  <si>
    <t>Option Name(s)</t>
  </si>
  <si>
    <t>SHAPES</t>
  </si>
  <si>
    <t>COIN</t>
  </si>
  <si>
    <t>NAIL COLORS</t>
  </si>
  <si>
    <t>HAIR AND BODY CARE</t>
  </si>
  <si>
    <t>Color Metafield (Canonical Palette) Status</t>
  </si>
  <si>
    <t>Shopify’s shopify.color-pattern metafield maps messy color names to a standard palette — the foundation for swatch filters.</t>
  </si>
  <si>
    <t>Metric</t>
  </si>
  <si>
    <t>% of scope</t>
  </si>
  <si>
    <t>In-stock products with color-pattern metafield</t>
  </si>
  <si>
    <t>Active products with color-pattern metafield</t>
  </si>
  <si>
    <t>Unique palette colors referenced (in-stock)</t>
  </si>
  <si>
    <t>Unique palette colors referenced (active)</t>
  </si>
  <si>
    <t>Unique raw color values to map (in-stock)</t>
  </si>
  <si>
    <t>Inventory Recovery — Fix Roadmap</t>
  </si>
  <si>
    <t>Sequenced so each phase unlocks the next. REVIEW EFFORT ESTIMATES PER CLIENT.</t>
  </si>
  <si>
    <t>Phase</t>
  </si>
  <si>
    <t>Action</t>
  </si>
  <si>
    <t>Scope</t>
  </si>
  <si>
    <t>Effort</t>
  </si>
  <si>
    <t>Risk</t>
  </si>
  <si>
    <t>Phase 1</t>
  </si>
  <si>
    <t>Option naming cleanup — unify option label spellings in one pass.</t>
  </si>
  <si>
    <t>119 products (label only)</t>
  </si>
  <si>
    <t>2–3 hours</t>
  </si>
  <si>
    <t>Low — labels only</t>
  </si>
  <si>
    <t>Phase 2</t>
  </si>
  <si>
    <t>Enable Color &amp; Size filters — configure Search &amp; Discovery, activate color swatches on the live theme.</t>
  </si>
  <si>
    <t>Theme + app settings, 0 products</t>
  </si>
  <si>
    <t>2–4 hours</t>
  </si>
  <si>
    <t>None — display settings, reversible</t>
  </si>
  <si>
    <t>Phase 3</t>
  </si>
  <si>
    <t>Canonical color mapping — map raw color values to Shopify’s standard palette (color-pattern metafields).</t>
  </si>
  <si>
    <t>183 in-stock products / 269 values</t>
  </si>
  <si>
    <t>1–2 weeks + review</t>
  </si>
  <si>
    <t>Low — additive metadata</t>
  </si>
  <si>
    <t>Phase 4a</t>
  </si>
  <si>
    <t>Add Color options where missing (color applies to nearly all jewelry).</t>
  </si>
  <si>
    <t>121 in-stock missing Color</t>
  </si>
  <si>
    <t>2–4 weeks, incremental</t>
  </si>
  <si>
    <t>Medium — dry-run per type</t>
  </si>
  <si>
    <t>Phase 4b</t>
  </si>
  <si>
    <t>Close real SIZE gaps — add ring sizes (and bag/apparel sizes) where the type expects them.</t>
  </si>
  <si>
    <t>15 size gaps (mostly rings) + 8 mislabeled</t>
  </si>
  <si>
    <t>1–2 weeks</t>
  </si>
  <si>
    <t>Phase 4c</t>
  </si>
  <si>
    <t>OPPORTUNITY (not a gap): offer length options on chains/bracelets (16"/18"/20") — improves filtering, fit &amp; AEO.</t>
  </si>
  <si>
    <t>61 length-bearing pieces sold fixed</t>
  </si>
  <si>
    <t>Merchandising decision</t>
  </si>
  <si>
    <t>Low — additive; earrings/charms stay one-size</t>
  </si>
  <si>
    <t>Phase 5</t>
  </si>
  <si>
    <t>Out-of-stock cleanup — archive or hide stale zero-inventory listings.</t>
  </si>
  <si>
    <t>229 published OOS products</t>
  </si>
  <si>
    <t>1–2 days after policy decision</t>
  </si>
  <si>
    <t>Medium — archive, don’t delete</t>
  </si>
  <si>
    <t>Phase 6</t>
  </si>
  <si>
    <t>Publish &amp; verify — confirm filters live on key collections, re-crawl, spot-check top collections.</t>
  </si>
  <si>
    <t>Site-wide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</si>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</sst>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.00"/>
    <numFmt numFmtId="166" formatCode="&quot;$&quot;#,##0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9"/>
      <color rgb="FFFFFFFF"/>
      <name val="Arial"/>
    </font>
    <font>
      <b/>
      <sz val="20"/>
      <color rgb="FFFFFFFF"/>
      <name val="Arial"/>
    </font>
    <font>
      <sz val="8"/>
      <color rgb="FFFFFFFF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548235"/>
      <name val="Arial"/>
    </font>
    <font>
      <b/>
      <sz val="10"/>
      <color rgb="FFC00000"/>
      <name val="Arial"/>
    </font>
    <font>
      <i/>
      <sz val="9"/>
      <color rgb="FF808080"/>
      <name val="Arial"/>
    </font>
    <font>
      <b/>
      <sz val="10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D9E2F3"/>
      </patternFill>
    </fill>
    <fill>
      <patternFill patternType="solid">
        <fgColor rgb="FFFCE4D6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8" fillId="0" borderId="1" xfId="0" applyNumberFormat="1" applyFont="1" applyBorder="1"/>
    <xf numFmtId="164" fontId="8" fillId="0" borderId="1" xfId="0" applyNumberFormat="1" applyFont="1" applyBorder="1"/>
    <xf numFmtId="0" fontId="11" fillId="0" borderId="0" xfId="0" applyFont="1"/>
    <xf numFmtId="3" fontId="8" fillId="7" borderId="1" xfId="0" applyNumberFormat="1" applyFont="1" applyFill="1" applyBorder="1"/>
    <xf numFmtId="3" fontId="8" fillId="8" borderId="1" xfId="0" applyNumberFormat="1" applyFont="1" applyFill="1" applyBorder="1"/>
    <xf numFmtId="3" fontId="8" fillId="9" borderId="1" xfId="0" applyNumberFormat="1" applyFont="1" applyFill="1" applyBorder="1"/>
    <xf numFmtId="0" fontId="12" fillId="0" borderId="1" xfId="0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1" fillId="0" borderId="0" xfId="0" applyFont="1" applyAlignment="1">
      <alignment wrapText="1"/>
    </xf>
    <xf numFmtId="165" fontId="8" fillId="0" borderId="1" xfId="0" applyNumberFormat="1" applyFont="1" applyBorder="1"/>
    <xf numFmtId="166" fontId="8" fillId="0" borderId="1" xfId="0" applyNumberFormat="1" applyFont="1" applyBorder="1"/>
    <xf numFmtId="3" fontId="12" fillId="0" borderId="1" xfId="0" applyNumberFormat="1" applyFont="1" applyBorder="1"/>
    <xf numFmtId="0" fontId="1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4" fontId="4" fillId="5" borderId="0" xfId="0" applyNumberFormat="1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top" wrapText="1"/>
    </xf>
    <xf numFmtId="0" fontId="6" fillId="6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center" indent="1"/>
    </xf>
    <xf numFmtId="3" fontId="4" fillId="2" borderId="0" xfId="0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1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In-stock products: Color filter readiness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2E9BA6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56-4B6C-8863-3F2BFE3B11BF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56-4B6C-8863-3F2BFE3B11BF}"/>
              </c:ext>
            </c:extLst>
          </c:dPt>
          <c:dPt>
            <c:idx val="2"/>
            <c:invertIfNegative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56-4B6C-8863-3F2BFE3B11B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Summary!$A$18:$A$20</c:f>
              <c:strCache>
                <c:ptCount val="3"/>
                <c:pt idx="0">
                  <c:v>Has Color option</c:v>
                </c:pt>
                <c:pt idx="1">
                  <c:v>Missing Color option</c:v>
                </c:pt>
                <c:pt idx="2">
                  <c:v>No options (“Default Title”)</c:v>
                </c:pt>
              </c:strCache>
            </c:strRef>
          </c:cat>
          <c:val>
            <c:numRef>
              <c:f>Summary!$B$18:$B$20</c:f>
              <c:numCache>
                <c:formatCode>#,##0</c:formatCode>
                <c:ptCount val="3"/>
                <c:pt idx="0">
                  <c:v>183</c:v>
                </c:pt>
                <c:pt idx="1">
                  <c:v>121</c:v>
                </c:pt>
                <c:pt idx="2">
                  <c:v>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D656-4B6C-8863-3F2BFE3B11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Active catalog: in stock vs out of stock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19-44BC-AFF2-1413BA130F2D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119-44BC-AFF2-1413BA130F2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Summary!$A$49:$A$50</c:f>
              <c:strCache>
                <c:ptCount val="2"/>
                <c:pt idx="0">
                  <c:v>In stock</c:v>
                </c:pt>
                <c:pt idx="1">
                  <c:v>Out of stock (still published)</c:v>
                </c:pt>
              </c:strCache>
            </c:strRef>
          </c:cat>
          <c:val>
            <c:numRef>
              <c:f>Summary!$B$49:$B$50</c:f>
              <c:numCache>
                <c:formatCode>#,##0</c:formatCode>
                <c:ptCount val="2"/>
                <c:pt idx="0">
                  <c:v>304</c:v>
                </c:pt>
                <c:pt idx="1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19-44BC-AFF2-1413BA130F2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How the Color option is spelled (active products)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77-4D9B-A645-B45AE2B5F65F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77-4D9B-A645-B45AE2B5F65F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77-4D9B-A645-B45AE2B5F65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Summary!$A$65:$A$67</c:f>
              <c:strCache>
                <c:ptCount val="3"/>
                <c:pt idx="0">
                  <c:v>“Color” (correct)</c:v>
                </c:pt>
                <c:pt idx="1">
                  <c:v>“COLOR”</c:v>
                </c:pt>
                <c:pt idx="2">
                  <c:v>Other variants</c:v>
                </c:pt>
              </c:strCache>
            </c:strRef>
          </c:cat>
          <c:val>
            <c:numRef>
              <c:f>Summary!$B$65:$B$67</c:f>
              <c:numCache>
                <c:formatCode>#,##0</c:formatCode>
                <c:ptCount val="3"/>
                <c:pt idx="0">
                  <c:v>183</c:v>
                </c:pt>
                <c:pt idx="1">
                  <c:v>117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77-4D9B-A645-B45AE2B5F65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in-stock color values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F3864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Summary!$A$81:$A$88</c:f>
              <c:strCache>
                <c:ptCount val="8"/>
                <c:pt idx="0">
                  <c:v>Clear</c:v>
                </c:pt>
                <c:pt idx="1">
                  <c:v>Jet</c:v>
                </c:pt>
                <c:pt idx="2">
                  <c:v>Aurora Borealis</c:v>
                </c:pt>
                <c:pt idx="3">
                  <c:v>Light Colorado Topaz</c:v>
                </c:pt>
                <c:pt idx="4">
                  <c:v>Denim Ignite</c:v>
                </c:pt>
                <c:pt idx="5">
                  <c:v>Aqua Champagne</c:v>
                </c:pt>
                <c:pt idx="6">
                  <c:v>Verde</c:v>
                </c:pt>
                <c:pt idx="7">
                  <c:v>Silvernight</c:v>
                </c:pt>
              </c:strCache>
            </c:strRef>
          </c:cat>
          <c:val>
            <c:numRef>
              <c:f>Summary!$B$81:$B$88</c:f>
              <c:numCache>
                <c:formatCode>#,##0</c:formatCode>
                <c:ptCount val="8"/>
                <c:pt idx="0">
                  <c:v>108</c:v>
                </c:pt>
                <c:pt idx="1">
                  <c:v>34</c:v>
                </c:pt>
                <c:pt idx="2">
                  <c:v>34</c:v>
                </c:pt>
                <c:pt idx="3">
                  <c:v>22</c:v>
                </c:pt>
                <c:pt idx="4">
                  <c:v>22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12-4265-9616-5790C98530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Catalog age: active listings vs still in stock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Summary!$B$96</c:f>
              <c:strCache>
                <c:ptCount val="1"/>
                <c:pt idx="0">
                  <c:v>Active listings</c:v>
                </c:pt>
              </c:strCache>
            </c:strRef>
          </c:tx>
          <c:spPr>
            <a:solidFill>
              <a:srgbClr val="D9D9D9"/>
            </a:solidFill>
            <a:ln>
              <a:prstDash val="solid"/>
            </a:ln>
          </c:spPr>
          <c:invertIfNegative val="1"/>
          <c:cat>
            <c:strRef>
              <c:f>Summary!$A$97:$A$105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Summary!$B$97:$B$105</c:f>
              <c:numCache>
                <c:formatCode>#,##0</c:formatCode>
                <c:ptCount val="9"/>
                <c:pt idx="0">
                  <c:v>32</c:v>
                </c:pt>
                <c:pt idx="1">
                  <c:v>2</c:v>
                </c:pt>
                <c:pt idx="2">
                  <c:v>11</c:v>
                </c:pt>
                <c:pt idx="3">
                  <c:v>22</c:v>
                </c:pt>
                <c:pt idx="4">
                  <c:v>16</c:v>
                </c:pt>
                <c:pt idx="5">
                  <c:v>4</c:v>
                </c:pt>
                <c:pt idx="6">
                  <c:v>25</c:v>
                </c:pt>
                <c:pt idx="7">
                  <c:v>198</c:v>
                </c:pt>
                <c:pt idx="8">
                  <c:v>223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4E3-499D-B360-FA9B4C0EAD0C}"/>
            </c:ext>
          </c:extLst>
        </c:ser>
        <c:ser>
          <c:idx val="1"/>
          <c:order val="1"/>
          <c:tx>
            <c:strRef>
              <c:f>Summary!$C$96</c:f>
              <c:strCache>
                <c:ptCount val="1"/>
                <c:pt idx="0">
                  <c:v>Still in stock</c:v>
                </c:pt>
              </c:strCache>
            </c:strRef>
          </c:tx>
          <c:spPr>
            <a:solidFill>
              <a:srgbClr val="2E9BA6"/>
            </a:solidFill>
            <a:ln>
              <a:prstDash val="solid"/>
            </a:ln>
          </c:spPr>
          <c:invertIfNegative val="1"/>
          <c:cat>
            <c:strRef>
              <c:f>Summary!$A$97:$A$105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Summary!$C$97:$C$105</c:f>
              <c:numCache>
                <c:formatCode>#,##0</c:formatCode>
                <c:ptCount val="9"/>
                <c:pt idx="0">
                  <c:v>22</c:v>
                </c:pt>
                <c:pt idx="1">
                  <c:v>1</c:v>
                </c:pt>
                <c:pt idx="2">
                  <c:v>5</c:v>
                </c:pt>
                <c:pt idx="3">
                  <c:v>16</c:v>
                </c:pt>
                <c:pt idx="4">
                  <c:v>8</c:v>
                </c:pt>
                <c:pt idx="5">
                  <c:v>1</c:v>
                </c:pt>
                <c:pt idx="6">
                  <c:v>11</c:v>
                </c:pt>
                <c:pt idx="7">
                  <c:v>93</c:v>
                </c:pt>
                <c:pt idx="8">
                  <c:v>147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4E3-499D-B360-FA9B4C0E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15</xdr:row>
      <xdr:rowOff>0</xdr:rowOff>
    </xdr:from>
    <xdr:ext cx="540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46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62</xdr:row>
      <xdr:rowOff>0</xdr:rowOff>
    </xdr:from>
    <xdr:ext cx="39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78</xdr:row>
      <xdr:rowOff>0</xdr:rowOff>
    </xdr:from>
    <xdr:ext cx="5400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94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M114"/>
  <sheetViews>
    <sheetView showGridLines="0" tabSelected="1" workbookViewId="0">
      <selection sqref="A1:M1"/>
    </sheetView>
  </sheetViews>
  <sheetFormatPr defaultRowHeight="15" x14ac:dyDescent="0.25"/>
  <cols>
    <col min="1" max="1" width="30" customWidth="1"/>
    <col min="2" max="2" width="12" customWidth="1"/>
    <col min="3" max="13" width="11" customWidth="1"/>
  </cols>
  <sheetData>
    <row r="1" spans="1:13" ht="30" customHeight="1" x14ac:dyDescent="0.25">
      <c r="A1" s="27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18" customHeight="1" x14ac:dyDescent="0.25">
      <c r="A2" s="34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spans="1:13" ht="26.1" customHeight="1" x14ac:dyDescent="0.25">
      <c r="A4" s="31" t="s">
        <v>2</v>
      </c>
      <c r="B4" s="21"/>
      <c r="D4" s="30" t="s">
        <v>3</v>
      </c>
      <c r="E4" s="21"/>
      <c r="G4" s="26" t="s">
        <v>4</v>
      </c>
      <c r="H4" s="21"/>
      <c r="J4" s="26" t="s">
        <v>5</v>
      </c>
      <c r="K4" s="21"/>
    </row>
    <row r="5" spans="1:13" ht="30" customHeight="1" x14ac:dyDescent="0.25">
      <c r="A5" s="28">
        <v>304</v>
      </c>
      <c r="B5" s="21"/>
      <c r="D5" s="33">
        <v>0.39802631578947367</v>
      </c>
      <c r="E5" s="21"/>
      <c r="G5" s="29">
        <v>15</v>
      </c>
      <c r="H5" s="21"/>
      <c r="J5" s="20">
        <v>0.23684210526315791</v>
      </c>
      <c r="K5" s="21"/>
    </row>
    <row r="6" spans="1:13" x14ac:dyDescent="0.25">
      <c r="A6" s="22" t="s">
        <v>6</v>
      </c>
      <c r="B6" s="21"/>
      <c r="D6" s="24" t="s">
        <v>7</v>
      </c>
      <c r="E6" s="21"/>
      <c r="G6" s="25" t="s">
        <v>8</v>
      </c>
      <c r="H6" s="21"/>
      <c r="J6" s="25" t="s">
        <v>9</v>
      </c>
      <c r="K6" s="21"/>
    </row>
    <row r="8" spans="1:13" ht="20.100000000000001" customHeight="1" x14ac:dyDescent="0.25">
      <c r="A8" s="23" t="s">
        <v>10</v>
      </c>
      <c r="B8" s="21"/>
      <c r="C8" s="21"/>
      <c r="D8" s="21"/>
      <c r="E8" s="21"/>
    </row>
    <row r="9" spans="1:13" x14ac:dyDescent="0.25">
      <c r="A9" s="1" t="s">
        <v>11</v>
      </c>
      <c r="B9" s="1" t="s">
        <v>12</v>
      </c>
      <c r="C9" s="1" t="s">
        <v>13</v>
      </c>
    </row>
    <row r="10" spans="1:13" x14ac:dyDescent="0.25">
      <c r="A10" s="2" t="s">
        <v>14</v>
      </c>
      <c r="B10" s="3" t="s">
        <v>15</v>
      </c>
      <c r="C10" s="2" t="s">
        <v>16</v>
      </c>
    </row>
    <row r="11" spans="1:13" x14ac:dyDescent="0.25">
      <c r="A11" s="2" t="s">
        <v>17</v>
      </c>
      <c r="B11" s="3" t="s">
        <v>15</v>
      </c>
      <c r="C11" s="2" t="s">
        <v>16</v>
      </c>
    </row>
    <row r="12" spans="1:13" x14ac:dyDescent="0.25">
      <c r="A12" s="2" t="s">
        <v>18</v>
      </c>
      <c r="B12" s="3" t="s">
        <v>15</v>
      </c>
      <c r="C12" s="2" t="s">
        <v>19</v>
      </c>
    </row>
    <row r="13" spans="1:13" x14ac:dyDescent="0.25">
      <c r="A13" s="2" t="s">
        <v>20</v>
      </c>
      <c r="B13" s="3" t="s">
        <v>15</v>
      </c>
      <c r="C13" s="2" t="s">
        <v>19</v>
      </c>
    </row>
    <row r="14" spans="1:13" x14ac:dyDescent="0.25">
      <c r="A14" s="2" t="s">
        <v>21</v>
      </c>
      <c r="B14" s="4" t="s">
        <v>22</v>
      </c>
      <c r="C14" s="2" t="s">
        <v>23</v>
      </c>
    </row>
    <row r="16" spans="1:13" ht="20.100000000000001" customHeight="1" x14ac:dyDescent="0.25">
      <c r="A16" s="23" t="s">
        <v>24</v>
      </c>
      <c r="B16" s="21"/>
      <c r="C16" s="21"/>
      <c r="D16" s="21"/>
      <c r="E16" s="21"/>
    </row>
    <row r="17" spans="1:5" ht="25.5" x14ac:dyDescent="0.25">
      <c r="A17" s="1" t="s">
        <v>25</v>
      </c>
      <c r="B17" s="1" t="s">
        <v>26</v>
      </c>
      <c r="C17" s="1" t="s">
        <v>27</v>
      </c>
    </row>
    <row r="18" spans="1:5" x14ac:dyDescent="0.25">
      <c r="A18" s="2" t="s">
        <v>28</v>
      </c>
      <c r="B18" s="5">
        <v>183</v>
      </c>
      <c r="C18" s="6">
        <f>B18/304</f>
        <v>0.60197368421052633</v>
      </c>
    </row>
    <row r="19" spans="1:5" x14ac:dyDescent="0.25">
      <c r="A19" s="2" t="s">
        <v>29</v>
      </c>
      <c r="B19" s="5">
        <v>121</v>
      </c>
      <c r="C19" s="6">
        <f>B19/304</f>
        <v>0.39802631578947367</v>
      </c>
    </row>
    <row r="20" spans="1:5" x14ac:dyDescent="0.25">
      <c r="A20" s="2" t="s">
        <v>30</v>
      </c>
      <c r="B20" s="5">
        <v>72</v>
      </c>
      <c r="C20" s="6">
        <f>B20/304</f>
        <v>0.23684210526315788</v>
      </c>
    </row>
    <row r="21" spans="1:5" x14ac:dyDescent="0.25">
      <c r="A21" s="7" t="s">
        <v>31</v>
      </c>
    </row>
    <row r="32" spans="1:5" ht="20.100000000000001" customHeight="1" x14ac:dyDescent="0.25">
      <c r="A32" s="23" t="s">
        <v>32</v>
      </c>
      <c r="B32" s="21"/>
      <c r="C32" s="21"/>
      <c r="D32" s="21"/>
      <c r="E32" s="21"/>
    </row>
    <row r="33" spans="1:8" ht="25.5" x14ac:dyDescent="0.25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  <c r="H33" s="1" t="s">
        <v>40</v>
      </c>
    </row>
    <row r="34" spans="1:8" x14ac:dyDescent="0.25">
      <c r="A34" s="2" t="s">
        <v>41</v>
      </c>
      <c r="B34" s="5">
        <v>119</v>
      </c>
      <c r="C34" s="5">
        <v>2</v>
      </c>
      <c r="D34" s="5">
        <v>0</v>
      </c>
      <c r="E34" s="5">
        <v>0</v>
      </c>
      <c r="F34" s="5">
        <v>0</v>
      </c>
      <c r="G34" s="8">
        <v>4</v>
      </c>
      <c r="H34" s="2" t="s">
        <v>42</v>
      </c>
    </row>
    <row r="35" spans="1:8" x14ac:dyDescent="0.25">
      <c r="A35" s="2" t="s">
        <v>43</v>
      </c>
      <c r="B35" s="5">
        <v>30</v>
      </c>
      <c r="C35" s="5">
        <v>26</v>
      </c>
      <c r="D35" s="5">
        <v>0</v>
      </c>
      <c r="E35" s="5">
        <v>0</v>
      </c>
      <c r="F35" s="9">
        <v>2</v>
      </c>
      <c r="G35" s="8">
        <v>2</v>
      </c>
      <c r="H35" s="2" t="s">
        <v>44</v>
      </c>
    </row>
    <row r="36" spans="1:8" x14ac:dyDescent="0.25">
      <c r="A36" s="2" t="s">
        <v>45</v>
      </c>
      <c r="B36" s="5">
        <v>28</v>
      </c>
      <c r="C36" s="5">
        <v>0</v>
      </c>
      <c r="D36" s="5">
        <v>0</v>
      </c>
      <c r="E36" s="10">
        <v>28</v>
      </c>
      <c r="F36" s="5">
        <v>0</v>
      </c>
      <c r="G36" s="5">
        <v>0</v>
      </c>
      <c r="H36" s="2" t="s">
        <v>46</v>
      </c>
    </row>
    <row r="37" spans="1:8" x14ac:dyDescent="0.25">
      <c r="A37" s="2" t="s">
        <v>47</v>
      </c>
      <c r="B37" s="5">
        <v>19</v>
      </c>
      <c r="C37" s="5">
        <v>0</v>
      </c>
      <c r="D37" s="5">
        <v>2</v>
      </c>
      <c r="E37" s="10">
        <v>17</v>
      </c>
      <c r="F37" s="5">
        <v>0</v>
      </c>
      <c r="G37" s="5">
        <v>0</v>
      </c>
      <c r="H37" s="2" t="s">
        <v>48</v>
      </c>
    </row>
    <row r="38" spans="1:8" x14ac:dyDescent="0.25">
      <c r="A38" s="2" t="s">
        <v>49</v>
      </c>
      <c r="B38" s="5">
        <v>17</v>
      </c>
      <c r="C38" s="5">
        <v>0</v>
      </c>
      <c r="D38" s="5">
        <v>0</v>
      </c>
      <c r="E38" s="10">
        <v>16</v>
      </c>
      <c r="F38" s="5">
        <v>0</v>
      </c>
      <c r="G38" s="8">
        <v>1</v>
      </c>
      <c r="H38" s="2" t="s">
        <v>46</v>
      </c>
    </row>
    <row r="39" spans="1:8" x14ac:dyDescent="0.25">
      <c r="A39" s="2" t="s">
        <v>50</v>
      </c>
      <c r="B39" s="5">
        <v>13</v>
      </c>
      <c r="C39" s="5">
        <v>0</v>
      </c>
      <c r="D39" s="5">
        <v>2</v>
      </c>
      <c r="E39" s="5">
        <v>0</v>
      </c>
      <c r="F39" s="9">
        <v>10</v>
      </c>
      <c r="G39" s="8">
        <v>1</v>
      </c>
      <c r="H39" s="2" t="s">
        <v>51</v>
      </c>
    </row>
    <row r="40" spans="1:8" x14ac:dyDescent="0.25">
      <c r="A40" s="2" t="s">
        <v>52</v>
      </c>
      <c r="B40" s="5">
        <v>3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2" t="s">
        <v>53</v>
      </c>
    </row>
    <row r="41" spans="1:8" x14ac:dyDescent="0.25">
      <c r="A41" s="2" t="s">
        <v>54</v>
      </c>
      <c r="B41" s="5">
        <v>1</v>
      </c>
      <c r="C41" s="5">
        <v>0</v>
      </c>
      <c r="D41" s="5">
        <v>0</v>
      </c>
      <c r="E41" s="5">
        <v>0</v>
      </c>
      <c r="F41" s="9">
        <v>1</v>
      </c>
      <c r="G41" s="5">
        <v>0</v>
      </c>
      <c r="H41" s="2" t="s">
        <v>55</v>
      </c>
    </row>
    <row r="42" spans="1:8" x14ac:dyDescent="0.25">
      <c r="A42" s="2" t="s">
        <v>56</v>
      </c>
      <c r="B42" s="5">
        <v>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2" t="s">
        <v>53</v>
      </c>
    </row>
    <row r="43" spans="1:8" x14ac:dyDescent="0.25">
      <c r="A43" s="2" t="s">
        <v>57</v>
      </c>
      <c r="B43" s="5">
        <v>1</v>
      </c>
      <c r="C43" s="5">
        <v>0</v>
      </c>
      <c r="D43" s="5">
        <v>0</v>
      </c>
      <c r="E43" s="5">
        <v>0</v>
      </c>
      <c r="F43" s="9">
        <v>1</v>
      </c>
      <c r="G43" s="5">
        <v>0</v>
      </c>
      <c r="H43" s="2" t="s">
        <v>44</v>
      </c>
    </row>
    <row r="44" spans="1:8" x14ac:dyDescent="0.25">
      <c r="A44" s="2" t="s">
        <v>58</v>
      </c>
      <c r="B44" s="5">
        <v>1</v>
      </c>
      <c r="C44" s="5">
        <v>0</v>
      </c>
      <c r="D44" s="5">
        <v>0</v>
      </c>
      <c r="E44" s="5">
        <v>0</v>
      </c>
      <c r="F44" s="9">
        <v>1</v>
      </c>
      <c r="G44" s="5">
        <v>0</v>
      </c>
      <c r="H44" s="2" t="s">
        <v>55</v>
      </c>
    </row>
    <row r="45" spans="1:8" x14ac:dyDescent="0.25">
      <c r="A45" s="32" t="s">
        <v>59</v>
      </c>
      <c r="B45" s="21"/>
      <c r="C45" s="21"/>
      <c r="D45" s="21"/>
      <c r="E45" s="21"/>
      <c r="F45" s="21"/>
      <c r="G45" s="21"/>
      <c r="H45" s="21"/>
    </row>
    <row r="46" spans="1:8" x14ac:dyDescent="0.25">
      <c r="A46" s="21"/>
      <c r="B46" s="21"/>
      <c r="C46" s="21"/>
      <c r="D46" s="21"/>
      <c r="E46" s="21"/>
      <c r="F46" s="21"/>
      <c r="G46" s="21"/>
      <c r="H46" s="21"/>
    </row>
    <row r="47" spans="1:8" ht="20.100000000000001" customHeight="1" x14ac:dyDescent="0.25">
      <c r="A47" s="23" t="s">
        <v>60</v>
      </c>
      <c r="B47" s="21"/>
      <c r="C47" s="21"/>
      <c r="D47" s="21"/>
      <c r="E47" s="21"/>
    </row>
    <row r="48" spans="1:8" x14ac:dyDescent="0.25">
      <c r="A48" s="1" t="s">
        <v>25</v>
      </c>
      <c r="B48" s="1" t="s">
        <v>26</v>
      </c>
      <c r="C48" s="1" t="s">
        <v>61</v>
      </c>
    </row>
    <row r="49" spans="1:5" x14ac:dyDescent="0.25">
      <c r="A49" s="2" t="s">
        <v>62</v>
      </c>
      <c r="B49" s="5">
        <v>304</v>
      </c>
      <c r="C49" s="6">
        <f>B49/533</f>
        <v>0.57035647279549717</v>
      </c>
    </row>
    <row r="50" spans="1:5" x14ac:dyDescent="0.25">
      <c r="A50" s="2" t="s">
        <v>63</v>
      </c>
      <c r="B50" s="5">
        <v>229</v>
      </c>
      <c r="C50" s="6">
        <f>B50/533</f>
        <v>0.42964352720450283</v>
      </c>
    </row>
    <row r="51" spans="1:5" x14ac:dyDescent="0.25">
      <c r="A51" s="11" t="s">
        <v>64</v>
      </c>
      <c r="B51" s="5">
        <v>533</v>
      </c>
      <c r="C51" s="6">
        <v>1</v>
      </c>
    </row>
    <row r="52" spans="1:5" x14ac:dyDescent="0.25">
      <c r="A52" s="2" t="s">
        <v>65</v>
      </c>
      <c r="B52" s="5">
        <v>403</v>
      </c>
      <c r="C52" s="2"/>
    </row>
    <row r="53" spans="1:5" x14ac:dyDescent="0.25">
      <c r="A53" s="7" t="s">
        <v>66</v>
      </c>
    </row>
    <row r="63" spans="1:5" ht="20.100000000000001" customHeight="1" x14ac:dyDescent="0.25">
      <c r="A63" s="23" t="s">
        <v>67</v>
      </c>
      <c r="B63" s="21"/>
      <c r="C63" s="21"/>
      <c r="D63" s="21"/>
      <c r="E63" s="21"/>
    </row>
    <row r="64" spans="1:5" x14ac:dyDescent="0.25">
      <c r="A64" s="1" t="s">
        <v>68</v>
      </c>
      <c r="B64" s="1" t="s">
        <v>26</v>
      </c>
      <c r="C64" s="1" t="s">
        <v>69</v>
      </c>
    </row>
    <row r="65" spans="1:5" x14ac:dyDescent="0.25">
      <c r="A65" s="2" t="s">
        <v>70</v>
      </c>
      <c r="B65" s="5">
        <v>183</v>
      </c>
      <c r="C65" s="6">
        <f>B65/301</f>
        <v>0.60797342192691028</v>
      </c>
    </row>
    <row r="66" spans="1:5" x14ac:dyDescent="0.25">
      <c r="A66" s="2" t="s">
        <v>71</v>
      </c>
      <c r="B66" s="5">
        <v>117</v>
      </c>
      <c r="C66" s="6">
        <f>B66/301</f>
        <v>0.38870431893687707</v>
      </c>
    </row>
    <row r="67" spans="1:5" x14ac:dyDescent="0.25">
      <c r="A67" s="2" t="s">
        <v>72</v>
      </c>
      <c r="B67" s="5">
        <v>1</v>
      </c>
      <c r="C67" s="6">
        <f>B67/301</f>
        <v>3.3222591362126247E-3</v>
      </c>
    </row>
    <row r="68" spans="1:5" x14ac:dyDescent="0.25">
      <c r="A68" s="7" t="s">
        <v>73</v>
      </c>
    </row>
    <row r="79" spans="1:5" ht="20.100000000000001" customHeight="1" x14ac:dyDescent="0.25">
      <c r="A79" s="23" t="s">
        <v>74</v>
      </c>
      <c r="B79" s="21"/>
      <c r="C79" s="21"/>
      <c r="D79" s="21"/>
      <c r="E79" s="21"/>
    </row>
    <row r="80" spans="1:5" ht="38.25" x14ac:dyDescent="0.25">
      <c r="A80" s="1" t="s">
        <v>75</v>
      </c>
      <c r="B80" s="1" t="s">
        <v>26</v>
      </c>
      <c r="C80" s="1" t="s">
        <v>76</v>
      </c>
    </row>
    <row r="81" spans="1:5" x14ac:dyDescent="0.25">
      <c r="A81" s="2" t="s">
        <v>77</v>
      </c>
      <c r="B81" s="5">
        <v>108</v>
      </c>
      <c r="C81" s="6">
        <f t="shared" ref="C81:C88" si="0">B81/183</f>
        <v>0.5901639344262295</v>
      </c>
    </row>
    <row r="82" spans="1:5" x14ac:dyDescent="0.25">
      <c r="A82" s="2" t="s">
        <v>78</v>
      </c>
      <c r="B82" s="5">
        <v>34</v>
      </c>
      <c r="C82" s="6">
        <f t="shared" si="0"/>
        <v>0.18579234972677597</v>
      </c>
    </row>
    <row r="83" spans="1:5" x14ac:dyDescent="0.25">
      <c r="A83" s="2" t="s">
        <v>79</v>
      </c>
      <c r="B83" s="5">
        <v>34</v>
      </c>
      <c r="C83" s="6">
        <f t="shared" si="0"/>
        <v>0.18579234972677597</v>
      </c>
    </row>
    <row r="84" spans="1:5" x14ac:dyDescent="0.25">
      <c r="A84" s="2" t="s">
        <v>80</v>
      </c>
      <c r="B84" s="5">
        <v>22</v>
      </c>
      <c r="C84" s="6">
        <f t="shared" si="0"/>
        <v>0.12021857923497267</v>
      </c>
    </row>
    <row r="85" spans="1:5" x14ac:dyDescent="0.25">
      <c r="A85" s="2" t="s">
        <v>81</v>
      </c>
      <c r="B85" s="5">
        <v>22</v>
      </c>
      <c r="C85" s="6">
        <f t="shared" si="0"/>
        <v>0.12021857923497267</v>
      </c>
    </row>
    <row r="86" spans="1:5" x14ac:dyDescent="0.25">
      <c r="A86" s="2" t="s">
        <v>82</v>
      </c>
      <c r="B86" s="5">
        <v>21</v>
      </c>
      <c r="C86" s="6">
        <f t="shared" si="0"/>
        <v>0.11475409836065574</v>
      </c>
    </row>
    <row r="87" spans="1:5" x14ac:dyDescent="0.25">
      <c r="A87" s="2" t="s">
        <v>83</v>
      </c>
      <c r="B87" s="5">
        <v>21</v>
      </c>
      <c r="C87" s="6">
        <f t="shared" si="0"/>
        <v>0.11475409836065574</v>
      </c>
    </row>
    <row r="88" spans="1:5" x14ac:dyDescent="0.25">
      <c r="A88" s="2" t="s">
        <v>84</v>
      </c>
      <c r="B88" s="5">
        <v>21</v>
      </c>
      <c r="C88" s="6">
        <f t="shared" si="0"/>
        <v>0.11475409836065574</v>
      </c>
    </row>
    <row r="89" spans="1:5" x14ac:dyDescent="0.25">
      <c r="A89" s="12" t="s">
        <v>85</v>
      </c>
      <c r="B89" s="13">
        <v>269</v>
      </c>
      <c r="C89" s="2"/>
    </row>
    <row r="90" spans="1:5" ht="72.75" x14ac:dyDescent="0.25">
      <c r="A90" s="14" t="s">
        <v>86</v>
      </c>
    </row>
    <row r="95" spans="1:5" ht="20.100000000000001" customHeight="1" x14ac:dyDescent="0.25">
      <c r="A95" s="23" t="s">
        <v>87</v>
      </c>
      <c r="B95" s="21"/>
      <c r="C95" s="21"/>
      <c r="D95" s="21"/>
      <c r="E95" s="21"/>
    </row>
    <row r="96" spans="1:5" ht="25.5" x14ac:dyDescent="0.25">
      <c r="A96" s="1" t="s">
        <v>88</v>
      </c>
      <c r="B96" s="1" t="s">
        <v>89</v>
      </c>
      <c r="C96" s="1" t="s">
        <v>90</v>
      </c>
    </row>
    <row r="97" spans="1:5" x14ac:dyDescent="0.25">
      <c r="A97" s="2" t="s">
        <v>91</v>
      </c>
      <c r="B97" s="5">
        <v>32</v>
      </c>
      <c r="C97" s="5">
        <v>22</v>
      </c>
    </row>
    <row r="98" spans="1:5" x14ac:dyDescent="0.25">
      <c r="A98" s="2" t="s">
        <v>92</v>
      </c>
      <c r="B98" s="5">
        <v>2</v>
      </c>
      <c r="C98" s="5">
        <v>1</v>
      </c>
    </row>
    <row r="99" spans="1:5" x14ac:dyDescent="0.25">
      <c r="A99" s="2" t="s">
        <v>93</v>
      </c>
      <c r="B99" s="5">
        <v>11</v>
      </c>
      <c r="C99" s="5">
        <v>5</v>
      </c>
    </row>
    <row r="100" spans="1:5" x14ac:dyDescent="0.25">
      <c r="A100" s="2" t="s">
        <v>94</v>
      </c>
      <c r="B100" s="5">
        <v>22</v>
      </c>
      <c r="C100" s="5">
        <v>16</v>
      </c>
    </row>
    <row r="101" spans="1:5" x14ac:dyDescent="0.25">
      <c r="A101" s="2" t="s">
        <v>95</v>
      </c>
      <c r="B101" s="5">
        <v>16</v>
      </c>
      <c r="C101" s="5">
        <v>8</v>
      </c>
    </row>
    <row r="102" spans="1:5" x14ac:dyDescent="0.25">
      <c r="A102" s="2" t="s">
        <v>96</v>
      </c>
      <c r="B102" s="5">
        <v>4</v>
      </c>
      <c r="C102" s="5">
        <v>1</v>
      </c>
    </row>
    <row r="103" spans="1:5" x14ac:dyDescent="0.25">
      <c r="A103" s="2" t="s">
        <v>97</v>
      </c>
      <c r="B103" s="5">
        <v>25</v>
      </c>
      <c r="C103" s="5">
        <v>11</v>
      </c>
    </row>
    <row r="104" spans="1:5" x14ac:dyDescent="0.25">
      <c r="A104" s="2" t="s">
        <v>98</v>
      </c>
      <c r="B104" s="5">
        <v>198</v>
      </c>
      <c r="C104" s="5">
        <v>93</v>
      </c>
    </row>
    <row r="105" spans="1:5" x14ac:dyDescent="0.25">
      <c r="A105" s="2" t="s">
        <v>99</v>
      </c>
      <c r="B105" s="5">
        <v>223</v>
      </c>
      <c r="C105" s="5">
        <v>147</v>
      </c>
    </row>
    <row r="112" spans="1:5" ht="20.100000000000001" customHeight="1" x14ac:dyDescent="0.25">
      <c r="A112" s="23" t="s">
        <v>100</v>
      </c>
      <c r="B112" s="21"/>
      <c r="C112" s="21"/>
      <c r="D112" s="21"/>
      <c r="E112" s="21"/>
    </row>
    <row r="113" spans="1:5" ht="38.25" x14ac:dyDescent="0.25">
      <c r="A113" s="1" t="s">
        <v>101</v>
      </c>
      <c r="B113" s="1" t="s">
        <v>102</v>
      </c>
      <c r="C113" s="1" t="s">
        <v>103</v>
      </c>
      <c r="D113" s="1" t="s">
        <v>104</v>
      </c>
      <c r="E113" s="1" t="s">
        <v>105</v>
      </c>
    </row>
    <row r="114" spans="1:5" x14ac:dyDescent="0.25">
      <c r="A114" s="15">
        <v>5</v>
      </c>
      <c r="B114" s="16">
        <v>35</v>
      </c>
      <c r="C114" s="16">
        <v>48</v>
      </c>
      <c r="D114" s="16">
        <v>72</v>
      </c>
      <c r="E114" s="16">
        <v>258</v>
      </c>
    </row>
  </sheetData>
  <mergeCells count="23">
    <mergeCell ref="A112:E112"/>
    <mergeCell ref="D5:E5"/>
    <mergeCell ref="A63:E63"/>
    <mergeCell ref="A2:M2"/>
    <mergeCell ref="J4:K4"/>
    <mergeCell ref="A1:M1"/>
    <mergeCell ref="A95:E95"/>
    <mergeCell ref="A5:B5"/>
    <mergeCell ref="G5:H5"/>
    <mergeCell ref="A47:E47"/>
    <mergeCell ref="D4:E4"/>
    <mergeCell ref="A32:E32"/>
    <mergeCell ref="A8:E8"/>
    <mergeCell ref="A4:B4"/>
    <mergeCell ref="G4:H4"/>
    <mergeCell ref="A45:H46"/>
    <mergeCell ref="J5:K5"/>
    <mergeCell ref="A6:B6"/>
    <mergeCell ref="A79:E79"/>
    <mergeCell ref="D6:E6"/>
    <mergeCell ref="A16:E16"/>
    <mergeCell ref="J6:K6"/>
    <mergeCell ref="G6:H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3" width="10" customWidth="1"/>
    <col min="4" max="4" width="11" customWidth="1"/>
    <col min="5" max="5" width="10" customWidth="1"/>
    <col min="6" max="6" width="11" customWidth="1"/>
    <col min="7" max="7" width="30" customWidth="1"/>
    <col min="8" max="8" width="13" customWidth="1"/>
    <col min="9" max="10" width="11" customWidth="1"/>
    <col min="11" max="11" width="36" customWidth="1"/>
  </cols>
  <sheetData>
    <row r="1" spans="1:11" ht="30" customHeight="1" x14ac:dyDescent="0.25">
      <c r="A1" s="27" t="s">
        <v>106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8" customHeight="1" x14ac:dyDescent="0.25">
      <c r="A2" s="34" t="s">
        <v>107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4" spans="1:11" ht="25.5" x14ac:dyDescent="0.25">
      <c r="A4" s="1" t="s">
        <v>33</v>
      </c>
      <c r="B4" s="1" t="s">
        <v>34</v>
      </c>
      <c r="C4" s="1" t="s">
        <v>108</v>
      </c>
      <c r="D4" s="1" t="s">
        <v>109</v>
      </c>
      <c r="E4" s="1" t="s">
        <v>110</v>
      </c>
      <c r="F4" s="1" t="s">
        <v>111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</row>
    <row r="5" spans="1:11" x14ac:dyDescent="0.25">
      <c r="A5" s="2" t="s">
        <v>41</v>
      </c>
      <c r="B5" s="5">
        <v>119</v>
      </c>
      <c r="C5" s="5">
        <v>65</v>
      </c>
      <c r="D5" s="6">
        <f t="shared" ref="D5:D19" si="0">C5/B5</f>
        <v>0.54621848739495793</v>
      </c>
      <c r="E5" s="5">
        <v>6</v>
      </c>
      <c r="F5" s="6">
        <f t="shared" ref="F5:F19" si="1">E5/B5</f>
        <v>5.0420168067226892E-2</v>
      </c>
      <c r="G5" s="2" t="s">
        <v>117</v>
      </c>
      <c r="H5" s="5">
        <v>70</v>
      </c>
      <c r="I5" s="5">
        <v>20</v>
      </c>
      <c r="J5" s="5">
        <v>226</v>
      </c>
      <c r="K5" s="2"/>
    </row>
    <row r="6" spans="1:11" x14ac:dyDescent="0.25">
      <c r="A6" s="2" t="s">
        <v>118</v>
      </c>
      <c r="B6" s="5">
        <v>68</v>
      </c>
      <c r="C6" s="5">
        <v>62</v>
      </c>
      <c r="D6" s="6">
        <f t="shared" si="0"/>
        <v>0.91176470588235292</v>
      </c>
      <c r="E6" s="5">
        <v>0</v>
      </c>
      <c r="F6" s="6">
        <f t="shared" si="1"/>
        <v>0</v>
      </c>
      <c r="G6" s="2" t="s">
        <v>117</v>
      </c>
      <c r="H6" s="5">
        <v>7</v>
      </c>
      <c r="I6" s="5">
        <v>1</v>
      </c>
      <c r="J6" s="5">
        <v>103</v>
      </c>
      <c r="K6" s="2"/>
    </row>
    <row r="7" spans="1:11" x14ac:dyDescent="0.25">
      <c r="A7" s="2" t="s">
        <v>43</v>
      </c>
      <c r="B7" s="5">
        <v>30</v>
      </c>
      <c r="C7" s="5">
        <v>0</v>
      </c>
      <c r="D7" s="6">
        <f t="shared" si="0"/>
        <v>0</v>
      </c>
      <c r="E7" s="5">
        <v>28</v>
      </c>
      <c r="F7" s="6">
        <f t="shared" si="1"/>
        <v>0.93333333333333335</v>
      </c>
      <c r="G7" s="2" t="s">
        <v>119</v>
      </c>
      <c r="H7" s="5">
        <v>0</v>
      </c>
      <c r="I7" s="5">
        <v>0</v>
      </c>
      <c r="J7" s="5">
        <v>32</v>
      </c>
      <c r="K7" s="2"/>
    </row>
    <row r="8" spans="1:11" x14ac:dyDescent="0.25">
      <c r="A8" s="2" t="s">
        <v>45</v>
      </c>
      <c r="B8" s="5">
        <v>28</v>
      </c>
      <c r="C8" s="5">
        <v>13</v>
      </c>
      <c r="D8" s="6">
        <f t="shared" si="0"/>
        <v>0.4642857142857143</v>
      </c>
      <c r="E8" s="5">
        <v>0</v>
      </c>
      <c r="F8" s="6">
        <f t="shared" si="1"/>
        <v>0</v>
      </c>
      <c r="G8" s="2" t="s">
        <v>120</v>
      </c>
      <c r="H8" s="5">
        <v>14</v>
      </c>
      <c r="I8" s="5">
        <v>3</v>
      </c>
      <c r="J8" s="5">
        <v>52</v>
      </c>
      <c r="K8" s="2"/>
    </row>
    <row r="9" spans="1:11" x14ac:dyDescent="0.25">
      <c r="A9" s="2" t="s">
        <v>47</v>
      </c>
      <c r="B9" s="5">
        <v>19</v>
      </c>
      <c r="C9" s="5">
        <v>14</v>
      </c>
      <c r="D9" s="6">
        <f t="shared" si="0"/>
        <v>0.73684210526315785</v>
      </c>
      <c r="E9" s="5">
        <v>0</v>
      </c>
      <c r="F9" s="6">
        <f t="shared" si="1"/>
        <v>0</v>
      </c>
      <c r="G9" s="2" t="s">
        <v>120</v>
      </c>
      <c r="H9" s="5">
        <v>2</v>
      </c>
      <c r="I9" s="5">
        <v>1</v>
      </c>
      <c r="J9" s="5">
        <v>38</v>
      </c>
      <c r="K9" s="2"/>
    </row>
    <row r="10" spans="1:11" x14ac:dyDescent="0.25">
      <c r="A10" s="2" t="s">
        <v>49</v>
      </c>
      <c r="B10" s="5">
        <v>17</v>
      </c>
      <c r="C10" s="5">
        <v>14</v>
      </c>
      <c r="D10" s="6">
        <f t="shared" si="0"/>
        <v>0.82352941176470584</v>
      </c>
      <c r="E10" s="5">
        <v>1</v>
      </c>
      <c r="F10" s="6">
        <f t="shared" si="1"/>
        <v>5.8823529411764705E-2</v>
      </c>
      <c r="G10" s="2" t="s">
        <v>120</v>
      </c>
      <c r="H10" s="5">
        <v>0</v>
      </c>
      <c r="I10" s="5">
        <v>0</v>
      </c>
      <c r="J10" s="5">
        <v>50</v>
      </c>
      <c r="K10" s="2"/>
    </row>
    <row r="11" spans="1:11" x14ac:dyDescent="0.25">
      <c r="A11" s="2" t="s">
        <v>50</v>
      </c>
      <c r="B11" s="5">
        <v>13</v>
      </c>
      <c r="C11" s="5">
        <v>10</v>
      </c>
      <c r="D11" s="6">
        <f t="shared" si="0"/>
        <v>0.76923076923076927</v>
      </c>
      <c r="E11" s="5">
        <v>1</v>
      </c>
      <c r="F11" s="6">
        <f t="shared" si="1"/>
        <v>7.6923076923076927E-2</v>
      </c>
      <c r="G11" s="2" t="s">
        <v>119</v>
      </c>
      <c r="H11" s="5">
        <v>7</v>
      </c>
      <c r="I11" s="5">
        <v>0</v>
      </c>
      <c r="J11" s="5">
        <v>16</v>
      </c>
      <c r="K11" s="2"/>
    </row>
    <row r="12" spans="1:11" x14ac:dyDescent="0.25">
      <c r="A12" s="2" t="s">
        <v>52</v>
      </c>
      <c r="B12" s="5">
        <v>3</v>
      </c>
      <c r="C12" s="5">
        <v>2</v>
      </c>
      <c r="D12" s="6">
        <f t="shared" si="0"/>
        <v>0.66666666666666663</v>
      </c>
      <c r="E12" s="5">
        <v>0</v>
      </c>
      <c r="F12" s="6">
        <f t="shared" si="1"/>
        <v>0</v>
      </c>
      <c r="G12" s="2" t="s">
        <v>121</v>
      </c>
      <c r="H12" s="5">
        <v>3</v>
      </c>
      <c r="I12" s="5">
        <v>1</v>
      </c>
      <c r="J12" s="5">
        <v>4</v>
      </c>
      <c r="K12" s="2"/>
    </row>
    <row r="13" spans="1:11" x14ac:dyDescent="0.25">
      <c r="A13" s="2" t="s">
        <v>57</v>
      </c>
      <c r="B13" s="5">
        <v>1</v>
      </c>
      <c r="C13" s="5">
        <v>0</v>
      </c>
      <c r="D13" s="6">
        <f t="shared" si="0"/>
        <v>0</v>
      </c>
      <c r="E13" s="5">
        <v>0</v>
      </c>
      <c r="F13" s="6">
        <f t="shared" si="1"/>
        <v>0</v>
      </c>
      <c r="G13" s="2" t="s">
        <v>119</v>
      </c>
      <c r="H13" s="5">
        <v>0</v>
      </c>
      <c r="I13" s="5">
        <v>0</v>
      </c>
      <c r="J13" s="5">
        <v>2</v>
      </c>
      <c r="K13" s="2"/>
    </row>
    <row r="14" spans="1:11" x14ac:dyDescent="0.25">
      <c r="A14" s="2" t="s">
        <v>54</v>
      </c>
      <c r="B14" s="5">
        <v>1</v>
      </c>
      <c r="C14" s="5">
        <v>0</v>
      </c>
      <c r="D14" s="6">
        <f t="shared" si="0"/>
        <v>0</v>
      </c>
      <c r="E14" s="5">
        <v>0</v>
      </c>
      <c r="F14" s="6">
        <f t="shared" si="1"/>
        <v>0</v>
      </c>
      <c r="G14" s="2" t="s">
        <v>119</v>
      </c>
      <c r="H14" s="5">
        <v>0</v>
      </c>
      <c r="I14" s="5">
        <v>0</v>
      </c>
      <c r="J14" s="5">
        <v>1</v>
      </c>
      <c r="K14" s="2"/>
    </row>
    <row r="15" spans="1:11" x14ac:dyDescent="0.25">
      <c r="A15" s="2" t="s">
        <v>56</v>
      </c>
      <c r="B15" s="5">
        <v>1</v>
      </c>
      <c r="C15" s="5">
        <v>0</v>
      </c>
      <c r="D15" s="6">
        <f t="shared" si="0"/>
        <v>0</v>
      </c>
      <c r="E15" s="5">
        <v>0</v>
      </c>
      <c r="F15" s="6">
        <f t="shared" si="1"/>
        <v>0</v>
      </c>
      <c r="G15" s="2" t="s">
        <v>121</v>
      </c>
      <c r="H15" s="5">
        <v>1</v>
      </c>
      <c r="I15" s="5">
        <v>0</v>
      </c>
      <c r="J15" s="5">
        <v>1</v>
      </c>
      <c r="K15" s="2"/>
    </row>
    <row r="16" spans="1:11" x14ac:dyDescent="0.25">
      <c r="A16" s="2" t="s">
        <v>122</v>
      </c>
      <c r="B16" s="5">
        <v>1</v>
      </c>
      <c r="C16" s="5">
        <v>1</v>
      </c>
      <c r="D16" s="6">
        <f t="shared" si="0"/>
        <v>1</v>
      </c>
      <c r="E16" s="5">
        <v>0</v>
      </c>
      <c r="F16" s="6">
        <f t="shared" si="1"/>
        <v>0</v>
      </c>
      <c r="G16" s="2" t="s">
        <v>117</v>
      </c>
      <c r="H16" s="5">
        <v>0</v>
      </c>
      <c r="I16" s="5">
        <v>0</v>
      </c>
      <c r="J16" s="5">
        <v>1</v>
      </c>
      <c r="K16" s="2"/>
    </row>
    <row r="17" spans="1:11" x14ac:dyDescent="0.25">
      <c r="A17" s="2" t="s">
        <v>58</v>
      </c>
      <c r="B17" s="5">
        <v>1</v>
      </c>
      <c r="C17" s="5">
        <v>1</v>
      </c>
      <c r="D17" s="6">
        <f t="shared" si="0"/>
        <v>1</v>
      </c>
      <c r="E17" s="5">
        <v>0</v>
      </c>
      <c r="F17" s="6">
        <f t="shared" si="1"/>
        <v>0</v>
      </c>
      <c r="G17" s="2" t="s">
        <v>119</v>
      </c>
      <c r="H17" s="5">
        <v>0</v>
      </c>
      <c r="I17" s="5">
        <v>0</v>
      </c>
      <c r="J17" s="5">
        <v>1</v>
      </c>
      <c r="K17" s="2"/>
    </row>
    <row r="18" spans="1:11" x14ac:dyDescent="0.25">
      <c r="A18" s="2" t="s">
        <v>123</v>
      </c>
      <c r="B18" s="5">
        <v>1</v>
      </c>
      <c r="C18" s="5">
        <v>0</v>
      </c>
      <c r="D18" s="6">
        <f t="shared" si="0"/>
        <v>0</v>
      </c>
      <c r="E18" s="5">
        <v>0</v>
      </c>
      <c r="F18" s="6">
        <f t="shared" si="1"/>
        <v>0</v>
      </c>
      <c r="G18" s="2" t="s">
        <v>117</v>
      </c>
      <c r="H18" s="5">
        <v>0</v>
      </c>
      <c r="I18" s="5">
        <v>0</v>
      </c>
      <c r="J18" s="5">
        <v>1</v>
      </c>
      <c r="K18" s="2"/>
    </row>
    <row r="19" spans="1:11" x14ac:dyDescent="0.25">
      <c r="A19" s="2" t="s">
        <v>124</v>
      </c>
      <c r="B19" s="5">
        <v>1</v>
      </c>
      <c r="C19" s="5">
        <v>1</v>
      </c>
      <c r="D19" s="6">
        <f t="shared" si="0"/>
        <v>1</v>
      </c>
      <c r="E19" s="5">
        <v>0</v>
      </c>
      <c r="F19" s="6">
        <f t="shared" si="1"/>
        <v>0</v>
      </c>
      <c r="G19" s="2" t="s">
        <v>117</v>
      </c>
      <c r="H19" s="5">
        <v>0</v>
      </c>
      <c r="I19" s="5">
        <v>0</v>
      </c>
      <c r="J19" s="5">
        <v>1</v>
      </c>
      <c r="K19" s="2"/>
    </row>
    <row r="20" spans="1:11" x14ac:dyDescent="0.25">
      <c r="A20" s="2" t="s">
        <v>125</v>
      </c>
      <c r="B20" s="5">
        <v>0</v>
      </c>
      <c r="C20" s="5">
        <v>0</v>
      </c>
      <c r="D20" s="6">
        <v>0</v>
      </c>
      <c r="E20" s="5">
        <v>0</v>
      </c>
      <c r="F20" s="6">
        <v>0</v>
      </c>
      <c r="G20" s="2" t="s">
        <v>126</v>
      </c>
      <c r="H20" s="5">
        <v>0</v>
      </c>
      <c r="I20" s="5">
        <v>0</v>
      </c>
      <c r="J20" s="5">
        <v>3</v>
      </c>
      <c r="K20" s="2"/>
    </row>
    <row r="21" spans="1:11" x14ac:dyDescent="0.25">
      <c r="A21" s="2" t="s">
        <v>127</v>
      </c>
      <c r="B21" s="5">
        <v>0</v>
      </c>
      <c r="C21" s="5">
        <v>0</v>
      </c>
      <c r="D21" s="6">
        <v>0</v>
      </c>
      <c r="E21" s="5">
        <v>0</v>
      </c>
      <c r="F21" s="6">
        <v>0</v>
      </c>
      <c r="G21" s="2" t="s">
        <v>126</v>
      </c>
      <c r="H21" s="5">
        <v>0</v>
      </c>
      <c r="I21" s="5">
        <v>0</v>
      </c>
      <c r="J21" s="5">
        <v>1</v>
      </c>
      <c r="K21" s="2"/>
    </row>
  </sheetData>
  <mergeCells count="2">
    <mergeCell ref="A2:K2"/>
    <mergeCell ref="A1:K1"/>
  </mergeCells>
  <conditionalFormatting sqref="D5:D21">
    <cfRule type="dataBar" priority="1">
      <dataBar>
        <cfvo type="num" val="0"/>
        <cfvo type="num" val="1"/>
        <color rgb="FF2E9BA6"/>
      </dataBar>
    </cfRule>
  </conditionalFormatting>
  <conditionalFormatting sqref="F5:F21">
    <cfRule type="dataBar" priority="2">
      <dataBar>
        <cfvo type="num" val="0"/>
        <cfvo type="num" val="1"/>
        <color rgb="FF2E9BA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14" customWidth="1"/>
    <col min="3" max="3" width="10" customWidth="1"/>
    <col min="4" max="4" width="13" customWidth="1"/>
    <col min="5" max="5" width="46" customWidth="1"/>
    <col min="6" max="6" width="40" customWidth="1"/>
  </cols>
  <sheetData>
    <row r="1" spans="1:7" ht="30" customHeight="1" x14ac:dyDescent="0.25">
      <c r="A1" s="27" t="s">
        <v>128</v>
      </c>
      <c r="B1" s="21"/>
      <c r="C1" s="21"/>
      <c r="D1" s="21"/>
      <c r="E1" s="21"/>
      <c r="F1" s="21"/>
      <c r="G1" s="21"/>
    </row>
    <row r="2" spans="1:7" ht="18" customHeight="1" x14ac:dyDescent="0.25">
      <c r="A2" s="34" t="s">
        <v>129</v>
      </c>
      <c r="B2" s="21"/>
      <c r="C2" s="21"/>
      <c r="D2" s="21"/>
      <c r="E2" s="21"/>
      <c r="F2" s="21"/>
      <c r="G2" s="21"/>
    </row>
    <row r="4" spans="1:7" ht="25.5" x14ac:dyDescent="0.25">
      <c r="A4" s="1" t="s">
        <v>130</v>
      </c>
      <c r="B4" s="1" t="s">
        <v>131</v>
      </c>
      <c r="C4" s="1" t="s">
        <v>34</v>
      </c>
      <c r="D4" s="1" t="s">
        <v>132</v>
      </c>
      <c r="E4" s="1" t="s">
        <v>133</v>
      </c>
      <c r="F4" s="1" t="s">
        <v>134</v>
      </c>
    </row>
    <row r="5" spans="1:7" x14ac:dyDescent="0.25">
      <c r="A5" s="2" t="s">
        <v>18</v>
      </c>
      <c r="B5" s="5">
        <v>301</v>
      </c>
      <c r="C5" s="5">
        <v>183</v>
      </c>
      <c r="D5" s="5">
        <v>318</v>
      </c>
      <c r="E5" s="2" t="s">
        <v>135</v>
      </c>
      <c r="F5" s="2" t="s">
        <v>136</v>
      </c>
    </row>
    <row r="6" spans="1:7" x14ac:dyDescent="0.25">
      <c r="A6" s="2" t="s">
        <v>20</v>
      </c>
      <c r="B6" s="5">
        <v>45</v>
      </c>
      <c r="C6" s="5">
        <v>36</v>
      </c>
      <c r="D6" s="5">
        <v>31</v>
      </c>
      <c r="E6" s="2" t="s">
        <v>137</v>
      </c>
      <c r="F6" s="2" t="s">
        <v>138</v>
      </c>
    </row>
    <row r="7" spans="1:7" x14ac:dyDescent="0.25">
      <c r="A7" s="2" t="s">
        <v>139</v>
      </c>
      <c r="B7" s="5">
        <v>2</v>
      </c>
      <c r="C7" s="5">
        <v>2</v>
      </c>
      <c r="D7" s="5">
        <v>9</v>
      </c>
      <c r="E7" s="2" t="s">
        <v>140</v>
      </c>
      <c r="F7" s="2" t="s">
        <v>141</v>
      </c>
    </row>
    <row r="8" spans="1:7" x14ac:dyDescent="0.25">
      <c r="A8" s="2" t="s">
        <v>142</v>
      </c>
      <c r="B8" s="5">
        <v>1</v>
      </c>
      <c r="C8" s="5">
        <v>0</v>
      </c>
      <c r="D8" s="5">
        <v>2</v>
      </c>
      <c r="E8" s="2" t="s">
        <v>143</v>
      </c>
      <c r="F8" s="2" t="s">
        <v>141</v>
      </c>
    </row>
    <row r="9" spans="1:7" x14ac:dyDescent="0.25">
      <c r="A9" s="2" t="s">
        <v>144</v>
      </c>
      <c r="B9" s="5">
        <v>1</v>
      </c>
      <c r="C9" s="5">
        <v>1</v>
      </c>
      <c r="D9" s="5">
        <v>22</v>
      </c>
      <c r="E9" s="2" t="s">
        <v>145</v>
      </c>
      <c r="F9" s="2" t="s">
        <v>141</v>
      </c>
    </row>
    <row r="10" spans="1:7" x14ac:dyDescent="0.25">
      <c r="A10" s="2" t="s">
        <v>146</v>
      </c>
      <c r="B10" s="5">
        <v>1</v>
      </c>
      <c r="C10" s="5">
        <v>1</v>
      </c>
      <c r="D10" s="5">
        <v>11</v>
      </c>
      <c r="E10" s="2" t="s">
        <v>147</v>
      </c>
      <c r="F10" s="2" t="s">
        <v>141</v>
      </c>
    </row>
    <row r="11" spans="1:7" x14ac:dyDescent="0.25">
      <c r="A11" s="2" t="s">
        <v>148</v>
      </c>
      <c r="B11" s="5">
        <v>1</v>
      </c>
      <c r="C11" s="5">
        <v>1</v>
      </c>
      <c r="D11" s="5">
        <v>13</v>
      </c>
      <c r="E11" s="2" t="s">
        <v>149</v>
      </c>
      <c r="F11" s="2" t="s">
        <v>141</v>
      </c>
    </row>
    <row r="12" spans="1:7" x14ac:dyDescent="0.25">
      <c r="A12" s="2" t="s">
        <v>150</v>
      </c>
      <c r="B12" s="5">
        <v>1</v>
      </c>
      <c r="C12" s="5">
        <v>1</v>
      </c>
      <c r="D12" s="5">
        <v>7</v>
      </c>
      <c r="E12" s="2" t="s">
        <v>151</v>
      </c>
      <c r="F12" s="2" t="s">
        <v>141</v>
      </c>
    </row>
    <row r="13" spans="1:7" x14ac:dyDescent="0.25">
      <c r="A13" s="2" t="s">
        <v>152</v>
      </c>
      <c r="B13" s="5">
        <v>1</v>
      </c>
      <c r="C13" s="5">
        <v>0</v>
      </c>
      <c r="D13" s="5">
        <v>1</v>
      </c>
      <c r="E13" s="2" t="s">
        <v>153</v>
      </c>
      <c r="F13" s="2" t="s">
        <v>141</v>
      </c>
    </row>
    <row r="14" spans="1:7" x14ac:dyDescent="0.25">
      <c r="A14" s="2" t="s">
        <v>154</v>
      </c>
      <c r="B14" s="5">
        <v>1</v>
      </c>
      <c r="C14" s="5">
        <v>1</v>
      </c>
      <c r="D14" s="5">
        <v>5</v>
      </c>
      <c r="E14" s="2" t="s">
        <v>155</v>
      </c>
      <c r="F14" s="2" t="s">
        <v>141</v>
      </c>
    </row>
    <row r="15" spans="1:7" x14ac:dyDescent="0.25">
      <c r="A15" s="2" t="s">
        <v>156</v>
      </c>
      <c r="B15" s="5">
        <v>1</v>
      </c>
      <c r="C15" s="5">
        <v>0</v>
      </c>
      <c r="D15" s="5">
        <v>1</v>
      </c>
      <c r="E15" s="2" t="s">
        <v>157</v>
      </c>
      <c r="F15" s="2" t="s">
        <v>141</v>
      </c>
    </row>
    <row r="16" spans="1:7" x14ac:dyDescent="0.25">
      <c r="A16" s="2" t="s">
        <v>158</v>
      </c>
      <c r="B16" s="5">
        <v>1</v>
      </c>
      <c r="C16" s="5">
        <v>1</v>
      </c>
      <c r="D16" s="5">
        <v>9</v>
      </c>
      <c r="E16" s="2" t="s">
        <v>159</v>
      </c>
      <c r="F16" s="2" t="s">
        <v>141</v>
      </c>
    </row>
    <row r="17" spans="1:6" x14ac:dyDescent="0.25">
      <c r="A17" s="2" t="s">
        <v>160</v>
      </c>
      <c r="B17" s="5">
        <v>1</v>
      </c>
      <c r="C17" s="5">
        <v>1</v>
      </c>
      <c r="D17" s="5">
        <v>2</v>
      </c>
      <c r="E17" s="2" t="s">
        <v>161</v>
      </c>
      <c r="F17" s="2" t="s">
        <v>141</v>
      </c>
    </row>
    <row r="18" spans="1:6" x14ac:dyDescent="0.25">
      <c r="A18" s="2" t="s">
        <v>162</v>
      </c>
      <c r="B18" s="5">
        <v>1</v>
      </c>
      <c r="C18" s="5">
        <v>0</v>
      </c>
      <c r="D18" s="5">
        <v>2</v>
      </c>
      <c r="E18" s="2" t="s">
        <v>163</v>
      </c>
      <c r="F18" s="2" t="s">
        <v>141</v>
      </c>
    </row>
    <row r="19" spans="1:6" x14ac:dyDescent="0.25">
      <c r="A19" s="2" t="s">
        <v>164</v>
      </c>
      <c r="B19" s="5">
        <v>1</v>
      </c>
      <c r="C19" s="5">
        <v>1</v>
      </c>
      <c r="D19" s="5">
        <v>6</v>
      </c>
      <c r="E19" s="2" t="s">
        <v>165</v>
      </c>
      <c r="F19" s="2" t="s">
        <v>141</v>
      </c>
    </row>
    <row r="20" spans="1:6" x14ac:dyDescent="0.25">
      <c r="A20" s="2" t="s">
        <v>166</v>
      </c>
      <c r="B20" s="5">
        <v>1</v>
      </c>
      <c r="C20" s="5">
        <v>0</v>
      </c>
      <c r="D20" s="5">
        <v>2</v>
      </c>
      <c r="E20" s="2" t="s">
        <v>167</v>
      </c>
      <c r="F20" s="2" t="s">
        <v>141</v>
      </c>
    </row>
    <row r="21" spans="1:6" x14ac:dyDescent="0.25">
      <c r="A21" s="2" t="s">
        <v>168</v>
      </c>
      <c r="B21" s="5">
        <v>1</v>
      </c>
      <c r="C21" s="5">
        <v>1</v>
      </c>
      <c r="D21" s="5">
        <v>1</v>
      </c>
      <c r="E21" s="2" t="s">
        <v>169</v>
      </c>
      <c r="F21" s="2" t="s">
        <v>141</v>
      </c>
    </row>
    <row r="22" spans="1:6" x14ac:dyDescent="0.25">
      <c r="A22" s="2" t="s">
        <v>170</v>
      </c>
      <c r="B22" s="5">
        <v>1</v>
      </c>
      <c r="C22" s="5">
        <v>1</v>
      </c>
      <c r="D22" s="5">
        <v>12</v>
      </c>
      <c r="E22" s="2" t="s">
        <v>171</v>
      </c>
      <c r="F22" s="2" t="s">
        <v>141</v>
      </c>
    </row>
    <row r="23" spans="1:6" x14ac:dyDescent="0.25">
      <c r="A23" s="2" t="s">
        <v>172</v>
      </c>
      <c r="B23" s="5">
        <v>1</v>
      </c>
      <c r="C23" s="5">
        <v>1</v>
      </c>
      <c r="D23" s="5">
        <v>10</v>
      </c>
      <c r="E23" s="2" t="s">
        <v>173</v>
      </c>
      <c r="F23" s="2" t="s">
        <v>141</v>
      </c>
    </row>
    <row r="24" spans="1:6" x14ac:dyDescent="0.25">
      <c r="A24" s="2" t="s">
        <v>174</v>
      </c>
      <c r="B24" s="5">
        <v>1</v>
      </c>
      <c r="C24" s="5">
        <v>1</v>
      </c>
      <c r="D24" s="5">
        <v>13</v>
      </c>
      <c r="E24" s="2" t="s">
        <v>175</v>
      </c>
      <c r="F24" s="2" t="s">
        <v>141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16" customWidth="1"/>
    <col min="4" max="4" width="24" customWidth="1"/>
  </cols>
  <sheetData>
    <row r="1" spans="1:5" ht="30" customHeight="1" x14ac:dyDescent="0.25">
      <c r="A1" s="27" t="s">
        <v>176</v>
      </c>
      <c r="B1" s="21"/>
      <c r="C1" s="21"/>
      <c r="D1" s="21"/>
      <c r="E1" s="21"/>
    </row>
    <row r="2" spans="1:5" ht="18" customHeight="1" x14ac:dyDescent="0.25">
      <c r="A2" s="34" t="s">
        <v>177</v>
      </c>
      <c r="B2" s="21"/>
      <c r="C2" s="21"/>
      <c r="D2" s="21"/>
      <c r="E2" s="21"/>
    </row>
    <row r="4" spans="1:5" ht="25.5" x14ac:dyDescent="0.25">
      <c r="A4" s="1" t="s">
        <v>178</v>
      </c>
      <c r="B4" s="1" t="s">
        <v>179</v>
      </c>
      <c r="C4" s="1" t="s">
        <v>180</v>
      </c>
      <c r="D4" s="1" t="s">
        <v>181</v>
      </c>
    </row>
    <row r="5" spans="1:5" x14ac:dyDescent="0.25">
      <c r="A5" s="2">
        <v>1</v>
      </c>
      <c r="B5" s="2" t="s">
        <v>77</v>
      </c>
      <c r="C5" s="5">
        <v>108</v>
      </c>
      <c r="D5" s="6">
        <f t="shared" ref="D5:D36" si="0">C5/183</f>
        <v>0.5901639344262295</v>
      </c>
    </row>
    <row r="6" spans="1:5" x14ac:dyDescent="0.25">
      <c r="A6" s="2">
        <v>2</v>
      </c>
      <c r="B6" s="2" t="s">
        <v>78</v>
      </c>
      <c r="C6" s="5">
        <v>34</v>
      </c>
      <c r="D6" s="6">
        <f t="shared" si="0"/>
        <v>0.18579234972677597</v>
      </c>
    </row>
    <row r="7" spans="1:5" x14ac:dyDescent="0.25">
      <c r="A7" s="2">
        <v>3</v>
      </c>
      <c r="B7" s="2" t="s">
        <v>79</v>
      </c>
      <c r="C7" s="5">
        <v>34</v>
      </c>
      <c r="D7" s="6">
        <f t="shared" si="0"/>
        <v>0.18579234972677597</v>
      </c>
    </row>
    <row r="8" spans="1:5" x14ac:dyDescent="0.25">
      <c r="A8" s="2">
        <v>4</v>
      </c>
      <c r="B8" s="2" t="s">
        <v>80</v>
      </c>
      <c r="C8" s="5">
        <v>22</v>
      </c>
      <c r="D8" s="6">
        <f t="shared" si="0"/>
        <v>0.12021857923497267</v>
      </c>
    </row>
    <row r="9" spans="1:5" x14ac:dyDescent="0.25">
      <c r="A9" s="2">
        <v>5</v>
      </c>
      <c r="B9" s="2" t="s">
        <v>81</v>
      </c>
      <c r="C9" s="5">
        <v>22</v>
      </c>
      <c r="D9" s="6">
        <f t="shared" si="0"/>
        <v>0.12021857923497267</v>
      </c>
    </row>
    <row r="10" spans="1:5" x14ac:dyDescent="0.25">
      <c r="A10" s="2">
        <v>6</v>
      </c>
      <c r="B10" s="2" t="s">
        <v>82</v>
      </c>
      <c r="C10" s="5">
        <v>21</v>
      </c>
      <c r="D10" s="6">
        <f t="shared" si="0"/>
        <v>0.11475409836065574</v>
      </c>
    </row>
    <row r="11" spans="1:5" x14ac:dyDescent="0.25">
      <c r="A11" s="2">
        <v>7</v>
      </c>
      <c r="B11" s="2" t="s">
        <v>83</v>
      </c>
      <c r="C11" s="5">
        <v>21</v>
      </c>
      <c r="D11" s="6">
        <f t="shared" si="0"/>
        <v>0.11475409836065574</v>
      </c>
    </row>
    <row r="12" spans="1:5" x14ac:dyDescent="0.25">
      <c r="A12" s="2">
        <v>8</v>
      </c>
      <c r="B12" s="2" t="s">
        <v>84</v>
      </c>
      <c r="C12" s="5">
        <v>21</v>
      </c>
      <c r="D12" s="6">
        <f t="shared" si="0"/>
        <v>0.11475409836065574</v>
      </c>
    </row>
    <row r="13" spans="1:5" x14ac:dyDescent="0.25">
      <c r="A13" s="2">
        <v>9</v>
      </c>
      <c r="B13" s="2" t="s">
        <v>182</v>
      </c>
      <c r="C13" s="5">
        <v>20</v>
      </c>
      <c r="D13" s="6">
        <f t="shared" si="0"/>
        <v>0.10928961748633879</v>
      </c>
    </row>
    <row r="14" spans="1:5" x14ac:dyDescent="0.25">
      <c r="A14" s="2">
        <v>10</v>
      </c>
      <c r="B14" s="2" t="s">
        <v>183</v>
      </c>
      <c r="C14" s="5">
        <v>18</v>
      </c>
      <c r="D14" s="6">
        <f t="shared" si="0"/>
        <v>9.8360655737704916E-2</v>
      </c>
    </row>
    <row r="15" spans="1:5" x14ac:dyDescent="0.25">
      <c r="A15" s="2">
        <v>11</v>
      </c>
      <c r="B15" s="2" t="s">
        <v>184</v>
      </c>
      <c r="C15" s="5">
        <v>17</v>
      </c>
      <c r="D15" s="6">
        <f t="shared" si="0"/>
        <v>9.2896174863387984E-2</v>
      </c>
    </row>
    <row r="16" spans="1:5" x14ac:dyDescent="0.25">
      <c r="A16" s="2">
        <v>12</v>
      </c>
      <c r="B16" s="2" t="s">
        <v>185</v>
      </c>
      <c r="C16" s="5">
        <v>17</v>
      </c>
      <c r="D16" s="6">
        <f t="shared" si="0"/>
        <v>9.2896174863387984E-2</v>
      </c>
    </row>
    <row r="17" spans="1:4" x14ac:dyDescent="0.25">
      <c r="A17" s="2">
        <v>13</v>
      </c>
      <c r="B17" s="2" t="s">
        <v>186</v>
      </c>
      <c r="C17" s="5">
        <v>16</v>
      </c>
      <c r="D17" s="6">
        <f t="shared" si="0"/>
        <v>8.7431693989071038E-2</v>
      </c>
    </row>
    <row r="18" spans="1:4" x14ac:dyDescent="0.25">
      <c r="A18" s="2">
        <v>14</v>
      </c>
      <c r="B18" s="2" t="s">
        <v>187</v>
      </c>
      <c r="C18" s="5">
        <v>16</v>
      </c>
      <c r="D18" s="6">
        <f t="shared" si="0"/>
        <v>8.7431693989071038E-2</v>
      </c>
    </row>
    <row r="19" spans="1:4" x14ac:dyDescent="0.25">
      <c r="A19" s="2">
        <v>15</v>
      </c>
      <c r="B19" s="2" t="s">
        <v>188</v>
      </c>
      <c r="C19" s="5">
        <v>16</v>
      </c>
      <c r="D19" s="6">
        <f t="shared" si="0"/>
        <v>8.7431693989071038E-2</v>
      </c>
    </row>
    <row r="20" spans="1:4" x14ac:dyDescent="0.25">
      <c r="A20" s="2">
        <v>16</v>
      </c>
      <c r="B20" s="2" t="s">
        <v>189</v>
      </c>
      <c r="C20" s="5">
        <v>15</v>
      </c>
      <c r="D20" s="6">
        <f t="shared" si="0"/>
        <v>8.1967213114754092E-2</v>
      </c>
    </row>
    <row r="21" spans="1:4" x14ac:dyDescent="0.25">
      <c r="A21" s="2">
        <v>17</v>
      </c>
      <c r="B21" s="2" t="s">
        <v>190</v>
      </c>
      <c r="C21" s="5">
        <v>15</v>
      </c>
      <c r="D21" s="6">
        <f t="shared" si="0"/>
        <v>8.1967213114754092E-2</v>
      </c>
    </row>
    <row r="22" spans="1:4" x14ac:dyDescent="0.25">
      <c r="A22" s="2">
        <v>18</v>
      </c>
      <c r="B22" s="2" t="s">
        <v>191</v>
      </c>
      <c r="C22" s="5">
        <v>15</v>
      </c>
      <c r="D22" s="6">
        <f t="shared" si="0"/>
        <v>8.1967213114754092E-2</v>
      </c>
    </row>
    <row r="23" spans="1:4" x14ac:dyDescent="0.25">
      <c r="A23" s="2">
        <v>19</v>
      </c>
      <c r="B23" s="2" t="s">
        <v>192</v>
      </c>
      <c r="C23" s="5">
        <v>15</v>
      </c>
      <c r="D23" s="6">
        <f t="shared" si="0"/>
        <v>8.1967213114754092E-2</v>
      </c>
    </row>
    <row r="24" spans="1:4" x14ac:dyDescent="0.25">
      <c r="A24" s="2">
        <v>20</v>
      </c>
      <c r="B24" s="2" t="s">
        <v>193</v>
      </c>
      <c r="C24" s="5">
        <v>14</v>
      </c>
      <c r="D24" s="6">
        <f t="shared" si="0"/>
        <v>7.650273224043716E-2</v>
      </c>
    </row>
    <row r="25" spans="1:4" x14ac:dyDescent="0.25">
      <c r="A25" s="2">
        <v>21</v>
      </c>
      <c r="B25" s="2" t="s">
        <v>194</v>
      </c>
      <c r="C25" s="5">
        <v>14</v>
      </c>
      <c r="D25" s="6">
        <f t="shared" si="0"/>
        <v>7.650273224043716E-2</v>
      </c>
    </row>
    <row r="26" spans="1:4" x14ac:dyDescent="0.25">
      <c r="A26" s="2">
        <v>22</v>
      </c>
      <c r="B26" s="2" t="s">
        <v>195</v>
      </c>
      <c r="C26" s="5">
        <v>13</v>
      </c>
      <c r="D26" s="6">
        <f t="shared" si="0"/>
        <v>7.1038251366120214E-2</v>
      </c>
    </row>
    <row r="27" spans="1:4" x14ac:dyDescent="0.25">
      <c r="A27" s="2">
        <v>23</v>
      </c>
      <c r="B27" s="2" t="s">
        <v>196</v>
      </c>
      <c r="C27" s="5">
        <v>13</v>
      </c>
      <c r="D27" s="6">
        <f t="shared" si="0"/>
        <v>7.1038251366120214E-2</v>
      </c>
    </row>
    <row r="28" spans="1:4" x14ac:dyDescent="0.25">
      <c r="A28" s="2">
        <v>24</v>
      </c>
      <c r="B28" s="2" t="s">
        <v>197</v>
      </c>
      <c r="C28" s="5">
        <v>13</v>
      </c>
      <c r="D28" s="6">
        <f t="shared" si="0"/>
        <v>7.1038251366120214E-2</v>
      </c>
    </row>
    <row r="29" spans="1:4" x14ac:dyDescent="0.25">
      <c r="A29" s="2">
        <v>25</v>
      </c>
      <c r="B29" s="2" t="s">
        <v>198</v>
      </c>
      <c r="C29" s="5">
        <v>13</v>
      </c>
      <c r="D29" s="6">
        <f t="shared" si="0"/>
        <v>7.1038251366120214E-2</v>
      </c>
    </row>
    <row r="30" spans="1:4" x14ac:dyDescent="0.25">
      <c r="A30" s="2">
        <v>26</v>
      </c>
      <c r="B30" s="2" t="s">
        <v>199</v>
      </c>
      <c r="C30" s="5">
        <v>13</v>
      </c>
      <c r="D30" s="6">
        <f t="shared" si="0"/>
        <v>7.1038251366120214E-2</v>
      </c>
    </row>
    <row r="31" spans="1:4" x14ac:dyDescent="0.25">
      <c r="A31" s="2">
        <v>27</v>
      </c>
      <c r="B31" s="2" t="s">
        <v>200</v>
      </c>
      <c r="C31" s="5">
        <v>12</v>
      </c>
      <c r="D31" s="6">
        <f t="shared" si="0"/>
        <v>6.5573770491803282E-2</v>
      </c>
    </row>
    <row r="32" spans="1:4" x14ac:dyDescent="0.25">
      <c r="A32" s="2">
        <v>28</v>
      </c>
      <c r="B32" s="2" t="s">
        <v>201</v>
      </c>
      <c r="C32" s="5">
        <v>12</v>
      </c>
      <c r="D32" s="6">
        <f t="shared" si="0"/>
        <v>6.5573770491803282E-2</v>
      </c>
    </row>
    <row r="33" spans="1:4" x14ac:dyDescent="0.25">
      <c r="A33" s="2">
        <v>29</v>
      </c>
      <c r="B33" s="2" t="s">
        <v>202</v>
      </c>
      <c r="C33" s="5">
        <v>11</v>
      </c>
      <c r="D33" s="6">
        <f t="shared" si="0"/>
        <v>6.0109289617486336E-2</v>
      </c>
    </row>
    <row r="34" spans="1:4" x14ac:dyDescent="0.25">
      <c r="A34" s="2">
        <v>30</v>
      </c>
      <c r="B34" s="2" t="s">
        <v>203</v>
      </c>
      <c r="C34" s="5">
        <v>11</v>
      </c>
      <c r="D34" s="6">
        <f t="shared" si="0"/>
        <v>6.0109289617486336E-2</v>
      </c>
    </row>
    <row r="35" spans="1:4" x14ac:dyDescent="0.25">
      <c r="A35" s="2">
        <v>31</v>
      </c>
      <c r="B35" s="2" t="s">
        <v>204</v>
      </c>
      <c r="C35" s="5">
        <v>9</v>
      </c>
      <c r="D35" s="6">
        <f t="shared" si="0"/>
        <v>4.9180327868852458E-2</v>
      </c>
    </row>
    <row r="36" spans="1:4" x14ac:dyDescent="0.25">
      <c r="A36" s="2">
        <v>32</v>
      </c>
      <c r="B36" s="2" t="s">
        <v>205</v>
      </c>
      <c r="C36" s="5">
        <v>9</v>
      </c>
      <c r="D36" s="6">
        <f t="shared" si="0"/>
        <v>4.9180327868852458E-2</v>
      </c>
    </row>
    <row r="37" spans="1:4" x14ac:dyDescent="0.25">
      <c r="A37" s="2">
        <v>33</v>
      </c>
      <c r="B37" s="2" t="s">
        <v>206</v>
      </c>
      <c r="C37" s="5">
        <v>9</v>
      </c>
      <c r="D37" s="6">
        <f t="shared" ref="D37:D68" si="1">C37/183</f>
        <v>4.9180327868852458E-2</v>
      </c>
    </row>
    <row r="38" spans="1:4" x14ac:dyDescent="0.25">
      <c r="A38" s="2">
        <v>34</v>
      </c>
      <c r="B38" s="2" t="s">
        <v>207</v>
      </c>
      <c r="C38" s="5">
        <v>8</v>
      </c>
      <c r="D38" s="6">
        <f t="shared" si="1"/>
        <v>4.3715846994535519E-2</v>
      </c>
    </row>
    <row r="39" spans="1:4" x14ac:dyDescent="0.25">
      <c r="A39" s="2">
        <v>35</v>
      </c>
      <c r="B39" s="2" t="s">
        <v>208</v>
      </c>
      <c r="C39" s="5">
        <v>8</v>
      </c>
      <c r="D39" s="6">
        <f t="shared" si="1"/>
        <v>4.3715846994535519E-2</v>
      </c>
    </row>
    <row r="40" spans="1:4" x14ac:dyDescent="0.25">
      <c r="A40" s="2">
        <v>36</v>
      </c>
      <c r="B40" s="2" t="s">
        <v>209</v>
      </c>
      <c r="C40" s="5">
        <v>7</v>
      </c>
      <c r="D40" s="6">
        <f t="shared" si="1"/>
        <v>3.825136612021858E-2</v>
      </c>
    </row>
    <row r="41" spans="1:4" x14ac:dyDescent="0.25">
      <c r="A41" s="2">
        <v>37</v>
      </c>
      <c r="B41" s="2" t="s">
        <v>210</v>
      </c>
      <c r="C41" s="5">
        <v>7</v>
      </c>
      <c r="D41" s="6">
        <f t="shared" si="1"/>
        <v>3.825136612021858E-2</v>
      </c>
    </row>
    <row r="42" spans="1:4" x14ac:dyDescent="0.25">
      <c r="A42" s="2">
        <v>38</v>
      </c>
      <c r="B42" s="2" t="s">
        <v>211</v>
      </c>
      <c r="C42" s="5">
        <v>7</v>
      </c>
      <c r="D42" s="6">
        <f t="shared" si="1"/>
        <v>3.825136612021858E-2</v>
      </c>
    </row>
    <row r="43" spans="1:4" x14ac:dyDescent="0.25">
      <c r="A43" s="2">
        <v>39</v>
      </c>
      <c r="B43" s="2" t="s">
        <v>212</v>
      </c>
      <c r="C43" s="5">
        <v>7</v>
      </c>
      <c r="D43" s="6">
        <f t="shared" si="1"/>
        <v>3.825136612021858E-2</v>
      </c>
    </row>
    <row r="44" spans="1:4" x14ac:dyDescent="0.25">
      <c r="A44" s="2">
        <v>40</v>
      </c>
      <c r="B44" s="2" t="s">
        <v>213</v>
      </c>
      <c r="C44" s="5">
        <v>6</v>
      </c>
      <c r="D44" s="6">
        <f t="shared" si="1"/>
        <v>3.2786885245901641E-2</v>
      </c>
    </row>
    <row r="45" spans="1:4" x14ac:dyDescent="0.25">
      <c r="A45" s="2">
        <v>41</v>
      </c>
      <c r="B45" s="2" t="s">
        <v>214</v>
      </c>
      <c r="C45" s="5">
        <v>6</v>
      </c>
      <c r="D45" s="6">
        <f t="shared" si="1"/>
        <v>3.2786885245901641E-2</v>
      </c>
    </row>
    <row r="46" spans="1:4" x14ac:dyDescent="0.25">
      <c r="A46" s="2">
        <v>42</v>
      </c>
      <c r="B46" s="2" t="s">
        <v>215</v>
      </c>
      <c r="C46" s="5">
        <v>6</v>
      </c>
      <c r="D46" s="6">
        <f t="shared" si="1"/>
        <v>3.2786885245901641E-2</v>
      </c>
    </row>
    <row r="47" spans="1:4" x14ac:dyDescent="0.25">
      <c r="A47" s="2">
        <v>43</v>
      </c>
      <c r="B47" s="2" t="s">
        <v>216</v>
      </c>
      <c r="C47" s="5">
        <v>6</v>
      </c>
      <c r="D47" s="6">
        <f t="shared" si="1"/>
        <v>3.2786885245901641E-2</v>
      </c>
    </row>
    <row r="48" spans="1:4" x14ac:dyDescent="0.25">
      <c r="A48" s="2">
        <v>44</v>
      </c>
      <c r="B48" s="2" t="s">
        <v>217</v>
      </c>
      <c r="C48" s="5">
        <v>6</v>
      </c>
      <c r="D48" s="6">
        <f t="shared" si="1"/>
        <v>3.2786885245901641E-2</v>
      </c>
    </row>
    <row r="49" spans="1:4" x14ac:dyDescent="0.25">
      <c r="A49" s="2">
        <v>45</v>
      </c>
      <c r="B49" s="2" t="s">
        <v>218</v>
      </c>
      <c r="C49" s="5">
        <v>6</v>
      </c>
      <c r="D49" s="6">
        <f t="shared" si="1"/>
        <v>3.2786885245901641E-2</v>
      </c>
    </row>
    <row r="50" spans="1:4" x14ac:dyDescent="0.25">
      <c r="A50" s="2">
        <v>46</v>
      </c>
      <c r="B50" s="2" t="s">
        <v>219</v>
      </c>
      <c r="C50" s="5">
        <v>6</v>
      </c>
      <c r="D50" s="6">
        <f t="shared" si="1"/>
        <v>3.2786885245901641E-2</v>
      </c>
    </row>
    <row r="51" spans="1:4" x14ac:dyDescent="0.25">
      <c r="A51" s="2">
        <v>47</v>
      </c>
      <c r="B51" s="2" t="s">
        <v>220</v>
      </c>
      <c r="C51" s="5">
        <v>6</v>
      </c>
      <c r="D51" s="6">
        <f t="shared" si="1"/>
        <v>3.2786885245901641E-2</v>
      </c>
    </row>
    <row r="52" spans="1:4" x14ac:dyDescent="0.25">
      <c r="A52" s="2">
        <v>48</v>
      </c>
      <c r="B52" s="2" t="s">
        <v>221</v>
      </c>
      <c r="C52" s="5">
        <v>5</v>
      </c>
      <c r="D52" s="6">
        <f t="shared" si="1"/>
        <v>2.7322404371584699E-2</v>
      </c>
    </row>
    <row r="53" spans="1:4" x14ac:dyDescent="0.25">
      <c r="A53" s="2">
        <v>49</v>
      </c>
      <c r="B53" s="2" t="s">
        <v>222</v>
      </c>
      <c r="C53" s="5">
        <v>5</v>
      </c>
      <c r="D53" s="6">
        <f t="shared" si="1"/>
        <v>2.7322404371584699E-2</v>
      </c>
    </row>
    <row r="54" spans="1:4" x14ac:dyDescent="0.25">
      <c r="A54" s="2">
        <v>50</v>
      </c>
      <c r="B54" s="2" t="s">
        <v>223</v>
      </c>
      <c r="C54" s="5">
        <v>5</v>
      </c>
      <c r="D54" s="6">
        <f t="shared" si="1"/>
        <v>2.7322404371584699E-2</v>
      </c>
    </row>
    <row r="55" spans="1:4" x14ac:dyDescent="0.25">
      <c r="A55" s="2">
        <v>51</v>
      </c>
      <c r="B55" s="2" t="s">
        <v>224</v>
      </c>
      <c r="C55" s="5">
        <v>5</v>
      </c>
      <c r="D55" s="6">
        <f t="shared" si="1"/>
        <v>2.7322404371584699E-2</v>
      </c>
    </row>
    <row r="56" spans="1:4" x14ac:dyDescent="0.25">
      <c r="A56" s="2">
        <v>52</v>
      </c>
      <c r="B56" s="2" t="s">
        <v>225</v>
      </c>
      <c r="C56" s="5">
        <v>5</v>
      </c>
      <c r="D56" s="6">
        <f t="shared" si="1"/>
        <v>2.7322404371584699E-2</v>
      </c>
    </row>
    <row r="57" spans="1:4" x14ac:dyDescent="0.25">
      <c r="A57" s="2">
        <v>53</v>
      </c>
      <c r="B57" s="2" t="s">
        <v>226</v>
      </c>
      <c r="C57" s="5">
        <v>5</v>
      </c>
      <c r="D57" s="6">
        <f t="shared" si="1"/>
        <v>2.7322404371584699E-2</v>
      </c>
    </row>
    <row r="58" spans="1:4" x14ac:dyDescent="0.25">
      <c r="A58" s="2">
        <v>54</v>
      </c>
      <c r="B58" s="2" t="s">
        <v>227</v>
      </c>
      <c r="C58" s="5">
        <v>5</v>
      </c>
      <c r="D58" s="6">
        <f t="shared" si="1"/>
        <v>2.7322404371584699E-2</v>
      </c>
    </row>
    <row r="59" spans="1:4" x14ac:dyDescent="0.25">
      <c r="A59" s="2">
        <v>55</v>
      </c>
      <c r="B59" s="2" t="s">
        <v>228</v>
      </c>
      <c r="C59" s="5">
        <v>4</v>
      </c>
      <c r="D59" s="6">
        <f t="shared" si="1"/>
        <v>2.185792349726776E-2</v>
      </c>
    </row>
    <row r="60" spans="1:4" x14ac:dyDescent="0.25">
      <c r="A60" s="2">
        <v>56</v>
      </c>
      <c r="B60" s="2" t="s">
        <v>229</v>
      </c>
      <c r="C60" s="5">
        <v>4</v>
      </c>
      <c r="D60" s="6">
        <f t="shared" si="1"/>
        <v>2.185792349726776E-2</v>
      </c>
    </row>
    <row r="61" spans="1:4" x14ac:dyDescent="0.25">
      <c r="A61" s="2">
        <v>57</v>
      </c>
      <c r="B61" s="2" t="s">
        <v>230</v>
      </c>
      <c r="C61" s="5">
        <v>4</v>
      </c>
      <c r="D61" s="6">
        <f t="shared" si="1"/>
        <v>2.185792349726776E-2</v>
      </c>
    </row>
    <row r="62" spans="1:4" x14ac:dyDescent="0.25">
      <c r="A62" s="2">
        <v>58</v>
      </c>
      <c r="B62" s="2" t="s">
        <v>231</v>
      </c>
      <c r="C62" s="5">
        <v>4</v>
      </c>
      <c r="D62" s="6">
        <f t="shared" si="1"/>
        <v>2.185792349726776E-2</v>
      </c>
    </row>
    <row r="63" spans="1:4" x14ac:dyDescent="0.25">
      <c r="A63" s="2">
        <v>59</v>
      </c>
      <c r="B63" s="2" t="s">
        <v>232</v>
      </c>
      <c r="C63" s="5">
        <v>4</v>
      </c>
      <c r="D63" s="6">
        <f t="shared" si="1"/>
        <v>2.185792349726776E-2</v>
      </c>
    </row>
    <row r="64" spans="1:4" x14ac:dyDescent="0.25">
      <c r="A64" s="2">
        <v>60</v>
      </c>
      <c r="B64" s="2" t="s">
        <v>233</v>
      </c>
      <c r="C64" s="5">
        <v>4</v>
      </c>
      <c r="D64" s="6">
        <f t="shared" si="1"/>
        <v>2.185792349726776E-2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16" customWidth="1"/>
    <col min="4" max="4" width="24" customWidth="1"/>
  </cols>
  <sheetData>
    <row r="1" spans="1:5" ht="30" customHeight="1" x14ac:dyDescent="0.25">
      <c r="A1" s="27" t="s">
        <v>234</v>
      </c>
      <c r="B1" s="21"/>
      <c r="C1" s="21"/>
      <c r="D1" s="21"/>
      <c r="E1" s="21"/>
    </row>
    <row r="2" spans="1:5" ht="18" customHeight="1" x14ac:dyDescent="0.25">
      <c r="A2" s="34" t="s">
        <v>235</v>
      </c>
      <c r="B2" s="21"/>
      <c r="C2" s="21"/>
      <c r="D2" s="21"/>
      <c r="E2" s="21"/>
    </row>
    <row r="4" spans="1:5" ht="25.5" x14ac:dyDescent="0.25">
      <c r="A4" s="1" t="s">
        <v>178</v>
      </c>
      <c r="B4" s="1" t="s">
        <v>179</v>
      </c>
      <c r="C4" s="1" t="s">
        <v>180</v>
      </c>
      <c r="D4" s="1" t="s">
        <v>181</v>
      </c>
    </row>
    <row r="5" spans="1:5" x14ac:dyDescent="0.25">
      <c r="A5" s="2">
        <v>1</v>
      </c>
      <c r="B5" s="2" t="s">
        <v>236</v>
      </c>
      <c r="C5" s="5">
        <v>28</v>
      </c>
      <c r="D5" s="6">
        <f t="shared" ref="D5:D34" si="0">C5/36</f>
        <v>0.77777777777777779</v>
      </c>
    </row>
    <row r="6" spans="1:5" x14ac:dyDescent="0.25">
      <c r="A6" s="2">
        <v>2</v>
      </c>
      <c r="B6" s="2" t="s">
        <v>237</v>
      </c>
      <c r="C6" s="5">
        <v>28</v>
      </c>
      <c r="D6" s="6">
        <f t="shared" si="0"/>
        <v>0.77777777777777779</v>
      </c>
    </row>
    <row r="7" spans="1:5" x14ac:dyDescent="0.25">
      <c r="A7" s="2">
        <v>3</v>
      </c>
      <c r="B7" s="2" t="s">
        <v>238</v>
      </c>
      <c r="C7" s="5">
        <v>27</v>
      </c>
      <c r="D7" s="6">
        <f t="shared" si="0"/>
        <v>0.75</v>
      </c>
    </row>
    <row r="8" spans="1:5" x14ac:dyDescent="0.25">
      <c r="A8" s="2">
        <v>4</v>
      </c>
      <c r="B8" s="2" t="s">
        <v>239</v>
      </c>
      <c r="C8" s="5">
        <v>26</v>
      </c>
      <c r="D8" s="6">
        <f t="shared" si="0"/>
        <v>0.72222222222222221</v>
      </c>
    </row>
    <row r="9" spans="1:5" x14ac:dyDescent="0.25">
      <c r="A9" s="2">
        <v>5</v>
      </c>
      <c r="B9" s="2" t="s">
        <v>240</v>
      </c>
      <c r="C9" s="5">
        <v>23</v>
      </c>
      <c r="D9" s="6">
        <f t="shared" si="0"/>
        <v>0.63888888888888884</v>
      </c>
    </row>
    <row r="10" spans="1:5" x14ac:dyDescent="0.25">
      <c r="A10" s="2">
        <v>6</v>
      </c>
      <c r="B10" s="2" t="s">
        <v>241</v>
      </c>
      <c r="C10" s="5">
        <v>21</v>
      </c>
      <c r="D10" s="6">
        <f t="shared" si="0"/>
        <v>0.58333333333333337</v>
      </c>
    </row>
    <row r="11" spans="1:5" x14ac:dyDescent="0.25">
      <c r="A11" s="2">
        <v>7</v>
      </c>
      <c r="B11" s="2" t="s">
        <v>242</v>
      </c>
      <c r="C11" s="5">
        <v>20</v>
      </c>
      <c r="D11" s="6">
        <f t="shared" si="0"/>
        <v>0.55555555555555558</v>
      </c>
    </row>
    <row r="12" spans="1:5" x14ac:dyDescent="0.25">
      <c r="A12" s="2">
        <v>8</v>
      </c>
      <c r="B12" s="2" t="s">
        <v>243</v>
      </c>
      <c r="C12" s="5">
        <v>10</v>
      </c>
      <c r="D12" s="6">
        <f t="shared" si="0"/>
        <v>0.27777777777777779</v>
      </c>
    </row>
    <row r="13" spans="1:5" x14ac:dyDescent="0.25">
      <c r="A13" s="2">
        <v>9</v>
      </c>
      <c r="B13" s="2" t="s">
        <v>244</v>
      </c>
      <c r="C13" s="5">
        <v>10</v>
      </c>
      <c r="D13" s="6">
        <f t="shared" si="0"/>
        <v>0.27777777777777779</v>
      </c>
    </row>
    <row r="14" spans="1:5" x14ac:dyDescent="0.25">
      <c r="A14" s="2">
        <v>10</v>
      </c>
      <c r="B14" s="2" t="s">
        <v>245</v>
      </c>
      <c r="C14" s="5">
        <v>10</v>
      </c>
      <c r="D14" s="6">
        <f t="shared" si="0"/>
        <v>0.27777777777777779</v>
      </c>
    </row>
    <row r="15" spans="1:5" x14ac:dyDescent="0.25">
      <c r="A15" s="2">
        <v>11</v>
      </c>
      <c r="B15" s="2" t="s">
        <v>246</v>
      </c>
      <c r="C15" s="5">
        <v>10</v>
      </c>
      <c r="D15" s="6">
        <f t="shared" si="0"/>
        <v>0.27777777777777779</v>
      </c>
    </row>
    <row r="16" spans="1:5" x14ac:dyDescent="0.25">
      <c r="A16" s="2">
        <v>12</v>
      </c>
      <c r="B16" s="2" t="s">
        <v>247</v>
      </c>
      <c r="C16" s="5">
        <v>9</v>
      </c>
      <c r="D16" s="6">
        <f t="shared" si="0"/>
        <v>0.25</v>
      </c>
    </row>
    <row r="17" spans="1:4" x14ac:dyDescent="0.25">
      <c r="A17" s="2">
        <v>13</v>
      </c>
      <c r="B17" s="2" t="s">
        <v>248</v>
      </c>
      <c r="C17" s="5">
        <v>8</v>
      </c>
      <c r="D17" s="6">
        <f t="shared" si="0"/>
        <v>0.22222222222222221</v>
      </c>
    </row>
    <row r="18" spans="1:4" x14ac:dyDescent="0.25">
      <c r="A18" s="2">
        <v>14</v>
      </c>
      <c r="B18" s="2" t="s">
        <v>249</v>
      </c>
      <c r="C18" s="5">
        <v>2</v>
      </c>
      <c r="D18" s="6">
        <f t="shared" si="0"/>
        <v>5.5555555555555552E-2</v>
      </c>
    </row>
    <row r="19" spans="1:4" x14ac:dyDescent="0.25">
      <c r="A19" s="2">
        <v>15</v>
      </c>
      <c r="B19" s="2" t="s">
        <v>250</v>
      </c>
      <c r="C19" s="5">
        <v>2</v>
      </c>
      <c r="D19" s="6">
        <f t="shared" si="0"/>
        <v>5.5555555555555552E-2</v>
      </c>
    </row>
    <row r="20" spans="1:4" x14ac:dyDescent="0.25">
      <c r="A20" s="2">
        <v>16</v>
      </c>
      <c r="B20" s="2" t="s">
        <v>251</v>
      </c>
      <c r="C20" s="5">
        <v>2</v>
      </c>
      <c r="D20" s="6">
        <f t="shared" si="0"/>
        <v>5.5555555555555552E-2</v>
      </c>
    </row>
    <row r="21" spans="1:4" x14ac:dyDescent="0.25">
      <c r="A21" s="2">
        <v>17</v>
      </c>
      <c r="B21" s="2" t="s">
        <v>252</v>
      </c>
      <c r="C21" s="5">
        <v>2</v>
      </c>
      <c r="D21" s="6">
        <f t="shared" si="0"/>
        <v>5.5555555555555552E-2</v>
      </c>
    </row>
    <row r="22" spans="1:4" x14ac:dyDescent="0.25">
      <c r="A22" s="2">
        <v>18</v>
      </c>
      <c r="B22" s="2" t="s">
        <v>253</v>
      </c>
      <c r="C22" s="5">
        <v>2</v>
      </c>
      <c r="D22" s="6">
        <f t="shared" si="0"/>
        <v>5.5555555555555552E-2</v>
      </c>
    </row>
    <row r="23" spans="1:4" x14ac:dyDescent="0.25">
      <c r="A23" s="2">
        <v>19</v>
      </c>
      <c r="B23" s="2" t="s">
        <v>254</v>
      </c>
      <c r="C23" s="5">
        <v>2</v>
      </c>
      <c r="D23" s="6">
        <f t="shared" si="0"/>
        <v>5.5555555555555552E-2</v>
      </c>
    </row>
    <row r="24" spans="1:4" x14ac:dyDescent="0.25">
      <c r="A24" s="2">
        <v>20</v>
      </c>
      <c r="B24" s="2" t="s">
        <v>255</v>
      </c>
      <c r="C24" s="5">
        <v>2</v>
      </c>
      <c r="D24" s="6">
        <f t="shared" si="0"/>
        <v>5.5555555555555552E-2</v>
      </c>
    </row>
    <row r="25" spans="1:4" x14ac:dyDescent="0.25">
      <c r="A25" s="2">
        <v>21</v>
      </c>
      <c r="B25" s="2" t="s">
        <v>256</v>
      </c>
      <c r="C25" s="5">
        <v>2</v>
      </c>
      <c r="D25" s="6">
        <f t="shared" si="0"/>
        <v>5.5555555555555552E-2</v>
      </c>
    </row>
    <row r="26" spans="1:4" x14ac:dyDescent="0.25">
      <c r="A26" s="2">
        <v>22</v>
      </c>
      <c r="B26" s="2" t="s">
        <v>257</v>
      </c>
      <c r="C26" s="5">
        <v>1</v>
      </c>
      <c r="D26" s="6">
        <f t="shared" si="0"/>
        <v>2.7777777777777776E-2</v>
      </c>
    </row>
    <row r="27" spans="1:4" x14ac:dyDescent="0.25">
      <c r="A27" s="2">
        <v>23</v>
      </c>
      <c r="B27" s="2" t="s">
        <v>258</v>
      </c>
      <c r="C27" s="5">
        <v>1</v>
      </c>
      <c r="D27" s="6">
        <f t="shared" si="0"/>
        <v>2.7777777777777776E-2</v>
      </c>
    </row>
    <row r="28" spans="1:4" x14ac:dyDescent="0.25">
      <c r="A28" s="2">
        <v>24</v>
      </c>
      <c r="B28" s="2" t="s">
        <v>259</v>
      </c>
      <c r="C28" s="5">
        <v>1</v>
      </c>
      <c r="D28" s="6">
        <f t="shared" si="0"/>
        <v>2.7777777777777776E-2</v>
      </c>
    </row>
    <row r="29" spans="1:4" x14ac:dyDescent="0.25">
      <c r="A29" s="2">
        <v>25</v>
      </c>
      <c r="B29" s="2" t="s">
        <v>260</v>
      </c>
      <c r="C29" s="5">
        <v>1</v>
      </c>
      <c r="D29" s="6">
        <f t="shared" si="0"/>
        <v>2.7777777777777776E-2</v>
      </c>
    </row>
    <row r="30" spans="1:4" x14ac:dyDescent="0.25">
      <c r="A30" s="2">
        <v>26</v>
      </c>
      <c r="B30" s="2" t="s">
        <v>261</v>
      </c>
      <c r="C30" s="5">
        <v>1</v>
      </c>
      <c r="D30" s="6">
        <f t="shared" si="0"/>
        <v>2.7777777777777776E-2</v>
      </c>
    </row>
    <row r="31" spans="1:4" x14ac:dyDescent="0.25">
      <c r="A31" s="2">
        <v>27</v>
      </c>
      <c r="B31" s="2" t="s">
        <v>262</v>
      </c>
      <c r="C31" s="5">
        <v>1</v>
      </c>
      <c r="D31" s="6">
        <f t="shared" si="0"/>
        <v>2.7777777777777776E-2</v>
      </c>
    </row>
    <row r="32" spans="1:4" x14ac:dyDescent="0.25">
      <c r="A32" s="2">
        <v>28</v>
      </c>
      <c r="B32" s="2" t="s">
        <v>263</v>
      </c>
      <c r="C32" s="5">
        <v>1</v>
      </c>
      <c r="D32" s="6">
        <f t="shared" si="0"/>
        <v>2.7777777777777776E-2</v>
      </c>
    </row>
    <row r="33" spans="1:4" x14ac:dyDescent="0.25">
      <c r="A33" s="2">
        <v>29</v>
      </c>
      <c r="B33" s="2" t="s">
        <v>264</v>
      </c>
      <c r="C33" s="5">
        <v>1</v>
      </c>
      <c r="D33" s="6">
        <f t="shared" si="0"/>
        <v>2.7777777777777776E-2</v>
      </c>
    </row>
    <row r="34" spans="1:4" x14ac:dyDescent="0.25">
      <c r="A34" s="2">
        <v>30</v>
      </c>
      <c r="B34" s="2" t="s">
        <v>265</v>
      </c>
      <c r="C34" s="5">
        <v>1</v>
      </c>
      <c r="D34" s="6">
        <f t="shared" si="0"/>
        <v>2.7777777777777776E-2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showGridLines="0" workbookViewId="0"/>
  </sheetViews>
  <sheetFormatPr defaultRowHeight="15" x14ac:dyDescent="0.25"/>
  <cols>
    <col min="1" max="1" width="28" customWidth="1"/>
    <col min="2" max="2" width="34" customWidth="1"/>
    <col min="3" max="4" width="16" customWidth="1"/>
  </cols>
  <sheetData>
    <row r="1" spans="1:5" ht="30" customHeight="1" x14ac:dyDescent="0.25">
      <c r="A1" s="27" t="s">
        <v>266</v>
      </c>
      <c r="B1" s="21"/>
      <c r="C1" s="21"/>
      <c r="D1" s="21"/>
      <c r="E1" s="21"/>
    </row>
    <row r="2" spans="1:5" ht="18" customHeight="1" x14ac:dyDescent="0.25">
      <c r="A2" s="34" t="s">
        <v>267</v>
      </c>
      <c r="B2" s="21"/>
      <c r="C2" s="21"/>
      <c r="D2" s="21"/>
      <c r="E2" s="21"/>
    </row>
    <row r="4" spans="1:5" ht="25.5" x14ac:dyDescent="0.25">
      <c r="A4" s="1" t="s">
        <v>268</v>
      </c>
      <c r="B4" s="1" t="s">
        <v>269</v>
      </c>
      <c r="C4" s="1" t="s">
        <v>270</v>
      </c>
      <c r="D4" s="1" t="s">
        <v>271</v>
      </c>
    </row>
    <row r="5" spans="1:5" x14ac:dyDescent="0.25">
      <c r="A5" s="2" t="s">
        <v>272</v>
      </c>
      <c r="B5" s="2" t="s">
        <v>273</v>
      </c>
      <c r="C5" s="2" t="s">
        <v>18</v>
      </c>
      <c r="D5" s="5">
        <v>117</v>
      </c>
    </row>
    <row r="6" spans="1:5" x14ac:dyDescent="0.25">
      <c r="A6" s="2" t="s">
        <v>272</v>
      </c>
      <c r="B6" s="2" t="s">
        <v>274</v>
      </c>
      <c r="C6" s="2" t="s">
        <v>18</v>
      </c>
      <c r="D6" s="5">
        <v>1</v>
      </c>
    </row>
    <row r="7" spans="1:5" x14ac:dyDescent="0.25">
      <c r="A7" s="2" t="s">
        <v>272</v>
      </c>
      <c r="B7" s="2" t="s">
        <v>275</v>
      </c>
      <c r="C7" s="2" t="s">
        <v>164</v>
      </c>
      <c r="D7" s="5">
        <v>1</v>
      </c>
    </row>
    <row r="8" spans="1:5" x14ac:dyDescent="0.25">
      <c r="A8" s="11" t="s">
        <v>276</v>
      </c>
      <c r="B8" s="2"/>
      <c r="C8" s="2"/>
      <c r="D8" s="17">
        <f>SUM(D5:D7)</f>
        <v>119</v>
      </c>
    </row>
    <row r="10" spans="1:5" ht="20.100000000000001" customHeight="1" x14ac:dyDescent="0.25">
      <c r="A10" s="23" t="s">
        <v>277</v>
      </c>
      <c r="B10" s="21"/>
      <c r="C10" s="21"/>
      <c r="D10" s="21"/>
    </row>
    <row r="11" spans="1:5" x14ac:dyDescent="0.25">
      <c r="A11" s="1" t="s">
        <v>268</v>
      </c>
      <c r="B11" s="1" t="s">
        <v>278</v>
      </c>
      <c r="C11" s="1"/>
      <c r="D11" s="1" t="s">
        <v>26</v>
      </c>
    </row>
    <row r="12" spans="1:5" x14ac:dyDescent="0.25">
      <c r="A12" s="2" t="s">
        <v>141</v>
      </c>
      <c r="B12" s="2" t="s">
        <v>139</v>
      </c>
      <c r="C12" s="2"/>
      <c r="D12" s="5">
        <v>2</v>
      </c>
    </row>
    <row r="13" spans="1:5" x14ac:dyDescent="0.25">
      <c r="A13" s="2" t="s">
        <v>141</v>
      </c>
      <c r="B13" s="2" t="s">
        <v>279</v>
      </c>
      <c r="C13" s="2"/>
      <c r="D13" s="5">
        <v>1</v>
      </c>
    </row>
    <row r="14" spans="1:5" x14ac:dyDescent="0.25">
      <c r="A14" s="2" t="s">
        <v>141</v>
      </c>
      <c r="B14" s="2" t="s">
        <v>144</v>
      </c>
      <c r="C14" s="2"/>
      <c r="D14" s="5">
        <v>1</v>
      </c>
    </row>
    <row r="15" spans="1:5" x14ac:dyDescent="0.25">
      <c r="A15" s="2" t="s">
        <v>141</v>
      </c>
      <c r="B15" s="2" t="s">
        <v>146</v>
      </c>
      <c r="C15" s="2"/>
      <c r="D15" s="5">
        <v>1</v>
      </c>
    </row>
    <row r="16" spans="1:5" x14ac:dyDescent="0.25">
      <c r="A16" s="2" t="s">
        <v>141</v>
      </c>
      <c r="B16" s="2" t="s">
        <v>148</v>
      </c>
      <c r="C16" s="2"/>
      <c r="D16" s="5">
        <v>1</v>
      </c>
    </row>
    <row r="17" spans="1:4" x14ac:dyDescent="0.25">
      <c r="A17" s="2" t="s">
        <v>141</v>
      </c>
      <c r="B17" s="2" t="s">
        <v>150</v>
      </c>
      <c r="C17" s="2"/>
      <c r="D17" s="5">
        <v>1</v>
      </c>
    </row>
    <row r="18" spans="1:4" x14ac:dyDescent="0.25">
      <c r="A18" s="2" t="s">
        <v>141</v>
      </c>
      <c r="B18" s="2" t="s">
        <v>152</v>
      </c>
      <c r="C18" s="2"/>
      <c r="D18" s="5">
        <v>1</v>
      </c>
    </row>
    <row r="19" spans="1:4" x14ac:dyDescent="0.25">
      <c r="A19" s="2" t="s">
        <v>141</v>
      </c>
      <c r="B19" s="2" t="s">
        <v>154</v>
      </c>
      <c r="C19" s="2"/>
      <c r="D19" s="5">
        <v>1</v>
      </c>
    </row>
    <row r="20" spans="1:4" x14ac:dyDescent="0.25">
      <c r="A20" s="2" t="s">
        <v>141</v>
      </c>
      <c r="B20" s="2" t="s">
        <v>156</v>
      </c>
      <c r="C20" s="2"/>
      <c r="D20" s="5">
        <v>1</v>
      </c>
    </row>
    <row r="21" spans="1:4" x14ac:dyDescent="0.25">
      <c r="A21" s="2" t="s">
        <v>141</v>
      </c>
      <c r="B21" s="2" t="s">
        <v>158</v>
      </c>
      <c r="C21" s="2"/>
      <c r="D21" s="5">
        <v>1</v>
      </c>
    </row>
    <row r="22" spans="1:4" x14ac:dyDescent="0.25">
      <c r="A22" s="2" t="s">
        <v>141</v>
      </c>
      <c r="B22" s="2" t="s">
        <v>160</v>
      </c>
      <c r="C22" s="2"/>
      <c r="D22" s="5">
        <v>1</v>
      </c>
    </row>
    <row r="23" spans="1:4" x14ac:dyDescent="0.25">
      <c r="A23" s="2" t="s">
        <v>141</v>
      </c>
      <c r="B23" s="2" t="s">
        <v>162</v>
      </c>
      <c r="C23" s="2"/>
      <c r="D23" s="5">
        <v>1</v>
      </c>
    </row>
    <row r="24" spans="1:4" x14ac:dyDescent="0.25">
      <c r="A24" s="2" t="s">
        <v>141</v>
      </c>
      <c r="B24" s="2" t="s">
        <v>280</v>
      </c>
      <c r="C24" s="2"/>
      <c r="D24" s="5">
        <v>1</v>
      </c>
    </row>
    <row r="25" spans="1:4" x14ac:dyDescent="0.25">
      <c r="A25" s="2" t="s">
        <v>141</v>
      </c>
      <c r="B25" s="2" t="s">
        <v>168</v>
      </c>
      <c r="C25" s="2"/>
      <c r="D25" s="5">
        <v>1</v>
      </c>
    </row>
    <row r="26" spans="1:4" x14ac:dyDescent="0.25">
      <c r="A26" s="2" t="s">
        <v>141</v>
      </c>
      <c r="B26" s="2" t="s">
        <v>281</v>
      </c>
      <c r="C26" s="2"/>
      <c r="D26" s="5">
        <v>1</v>
      </c>
    </row>
    <row r="27" spans="1:4" x14ac:dyDescent="0.25">
      <c r="A27" s="2" t="s">
        <v>141</v>
      </c>
      <c r="B27" s="2" t="s">
        <v>282</v>
      </c>
      <c r="C27" s="2"/>
      <c r="D27" s="5">
        <v>1</v>
      </c>
    </row>
  </sheetData>
  <mergeCells count="3">
    <mergeCell ref="A2:E2"/>
    <mergeCell ref="A10:D10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showGridLines="0" workbookViewId="0"/>
  </sheetViews>
  <sheetFormatPr defaultRowHeight="15" x14ac:dyDescent="0.25"/>
  <cols>
    <col min="1" max="1" width="48" customWidth="1"/>
    <col min="2" max="3" width="12" customWidth="1"/>
  </cols>
  <sheetData>
    <row r="1" spans="1:4" ht="30" customHeight="1" x14ac:dyDescent="0.25">
      <c r="A1" s="27" t="s">
        <v>283</v>
      </c>
      <c r="B1" s="21"/>
      <c r="C1" s="21"/>
      <c r="D1" s="21"/>
    </row>
    <row r="2" spans="1:4" ht="18" customHeight="1" x14ac:dyDescent="0.25">
      <c r="A2" s="34" t="s">
        <v>284</v>
      </c>
      <c r="B2" s="21"/>
      <c r="C2" s="21"/>
      <c r="D2" s="21"/>
    </row>
    <row r="4" spans="1:4" x14ac:dyDescent="0.25">
      <c r="A4" s="1" t="s">
        <v>285</v>
      </c>
      <c r="B4" s="1" t="s">
        <v>179</v>
      </c>
      <c r="C4" s="1" t="s">
        <v>286</v>
      </c>
    </row>
    <row r="5" spans="1:4" x14ac:dyDescent="0.25">
      <c r="A5" s="2" t="s">
        <v>287</v>
      </c>
      <c r="B5" s="5">
        <v>13</v>
      </c>
      <c r="C5" s="6">
        <v>4.2763157894736843E-2</v>
      </c>
    </row>
    <row r="6" spans="1:4" x14ac:dyDescent="0.25">
      <c r="A6" s="2" t="s">
        <v>288</v>
      </c>
      <c r="B6" s="5">
        <v>22</v>
      </c>
      <c r="C6" s="6">
        <v>4.1275797373358347E-2</v>
      </c>
    </row>
    <row r="7" spans="1:4" x14ac:dyDescent="0.25">
      <c r="A7" s="2" t="s">
        <v>289</v>
      </c>
      <c r="B7" s="5">
        <v>15</v>
      </c>
      <c r="C7" s="6"/>
    </row>
    <row r="8" spans="1:4" x14ac:dyDescent="0.25">
      <c r="A8" s="2" t="s">
        <v>290</v>
      </c>
      <c r="B8" s="5">
        <v>18</v>
      </c>
      <c r="C8" s="6"/>
    </row>
    <row r="9" spans="1:4" x14ac:dyDescent="0.25">
      <c r="A9" s="2" t="s">
        <v>291</v>
      </c>
      <c r="B9" s="5">
        <v>269</v>
      </c>
      <c r="C9" s="6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E12"/>
  <sheetViews>
    <sheetView showGridLines="0" workbookViewId="0"/>
  </sheetViews>
  <sheetFormatPr defaultRowHeight="15" x14ac:dyDescent="0.25"/>
  <cols>
    <col min="1" max="1" width="10" customWidth="1"/>
    <col min="2" max="2" width="64" customWidth="1"/>
    <col min="3" max="3" width="30" customWidth="1"/>
    <col min="4" max="4" width="24" customWidth="1"/>
    <col min="5" max="5" width="36" customWidth="1"/>
  </cols>
  <sheetData>
    <row r="1" spans="1:5" ht="30" customHeight="1" x14ac:dyDescent="0.25">
      <c r="A1" s="27" t="s">
        <v>292</v>
      </c>
      <c r="B1" s="21"/>
      <c r="C1" s="21"/>
      <c r="D1" s="21"/>
      <c r="E1" s="21"/>
    </row>
    <row r="2" spans="1:5" ht="18" customHeight="1" x14ac:dyDescent="0.25">
      <c r="A2" s="34" t="s">
        <v>293</v>
      </c>
      <c r="B2" s="21"/>
      <c r="C2" s="21"/>
      <c r="D2" s="21"/>
      <c r="E2" s="21"/>
    </row>
    <row r="4" spans="1:5" x14ac:dyDescent="0.25">
      <c r="A4" s="1" t="s">
        <v>294</v>
      </c>
      <c r="B4" s="1" t="s">
        <v>295</v>
      </c>
      <c r="C4" s="1" t="s">
        <v>296</v>
      </c>
      <c r="D4" s="1" t="s">
        <v>297</v>
      </c>
      <c r="E4" s="1" t="s">
        <v>298</v>
      </c>
    </row>
    <row r="5" spans="1:5" ht="42" customHeight="1" x14ac:dyDescent="0.25">
      <c r="A5" s="18" t="s">
        <v>299</v>
      </c>
      <c r="B5" s="19" t="s">
        <v>300</v>
      </c>
      <c r="C5" s="19" t="s">
        <v>301</v>
      </c>
      <c r="D5" s="19" t="s">
        <v>302</v>
      </c>
      <c r="E5" s="19" t="s">
        <v>303</v>
      </c>
    </row>
    <row r="6" spans="1:5" ht="42" customHeight="1" x14ac:dyDescent="0.25">
      <c r="A6" s="18" t="s">
        <v>304</v>
      </c>
      <c r="B6" s="19" t="s">
        <v>305</v>
      </c>
      <c r="C6" s="19" t="s">
        <v>306</v>
      </c>
      <c r="D6" s="19" t="s">
        <v>307</v>
      </c>
      <c r="E6" s="19" t="s">
        <v>308</v>
      </c>
    </row>
    <row r="7" spans="1:5" ht="42" customHeight="1" x14ac:dyDescent="0.25">
      <c r="A7" s="18" t="s">
        <v>309</v>
      </c>
      <c r="B7" s="19" t="s">
        <v>310</v>
      </c>
      <c r="C7" s="19" t="s">
        <v>311</v>
      </c>
      <c r="D7" s="19" t="s">
        <v>312</v>
      </c>
      <c r="E7" s="19" t="s">
        <v>313</v>
      </c>
    </row>
    <row r="8" spans="1:5" ht="42" customHeight="1" x14ac:dyDescent="0.25">
      <c r="A8" s="18" t="s">
        <v>314</v>
      </c>
      <c r="B8" s="19" t="s">
        <v>315</v>
      </c>
      <c r="C8" s="19" t="s">
        <v>316</v>
      </c>
      <c r="D8" s="19" t="s">
        <v>317</v>
      </c>
      <c r="E8" s="19" t="s">
        <v>318</v>
      </c>
    </row>
    <row r="9" spans="1:5" ht="42" customHeight="1" x14ac:dyDescent="0.25">
      <c r="A9" s="18" t="s">
        <v>319</v>
      </c>
      <c r="B9" s="19" t="s">
        <v>320</v>
      </c>
      <c r="C9" s="19" t="s">
        <v>321</v>
      </c>
      <c r="D9" s="19" t="s">
        <v>322</v>
      </c>
      <c r="E9" s="19" t="s">
        <v>318</v>
      </c>
    </row>
    <row r="10" spans="1:5" ht="42" customHeight="1" x14ac:dyDescent="0.25">
      <c r="A10" s="18" t="s">
        <v>323</v>
      </c>
      <c r="B10" s="19" t="s">
        <v>324</v>
      </c>
      <c r="C10" s="19" t="s">
        <v>325</v>
      </c>
      <c r="D10" s="19" t="s">
        <v>326</v>
      </c>
      <c r="E10" s="19" t="s">
        <v>327</v>
      </c>
    </row>
    <row r="11" spans="1:5" ht="42" customHeight="1" x14ac:dyDescent="0.25">
      <c r="A11" s="18" t="s">
        <v>328</v>
      </c>
      <c r="B11" s="19" t="s">
        <v>329</v>
      </c>
      <c r="C11" s="19" t="s">
        <v>330</v>
      </c>
      <c r="D11" s="19" t="s">
        <v>331</v>
      </c>
      <c r="E11" s="19" t="s">
        <v>332</v>
      </c>
    </row>
    <row r="12" spans="1:5" ht="42" customHeight="1" x14ac:dyDescent="0.25">
      <c r="A12" s="18" t="s">
        <v>333</v>
      </c>
      <c r="B12" s="19" t="s">
        <v>334</v>
      </c>
      <c r="C12" s="19" t="s">
        <v>335</v>
      </c>
      <c r="D12" s="19" t="s">
        <v>302</v>
      </c>
      <c r="E12" s="19" t="s">
        <v>336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By Product Type</vt:lpstr>
      <vt:lpstr>Option Types</vt:lpstr>
      <vt:lpstr>Color Values</vt:lpstr>
      <vt:lpstr>Size Values</vt:lpstr>
      <vt:lpstr>Data Quality</vt:lpstr>
      <vt:lpstr>Metafield Status</vt:lpstr>
      <vt:lpstr>Fix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Horsley</cp:lastModifiedBy>
  <dcterms:created xsi:type="dcterms:W3CDTF">2026-06-22T16:09:25Z</dcterms:created>
  <dcterms:modified xsi:type="dcterms:W3CDTF">2026-06-22T16:09:50Z</dcterms:modified>
</cp:coreProperties>
</file>